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 defaultThemeVersion="124226"/>
  <xr:revisionPtr revIDLastSave="0" documentId="13_ncr:1_{4209AD48-7A34-4560-AB3E-7C9C9A935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ضمان" sheetId="5" r:id="rId1"/>
    <sheet name="21" sheetId="7" r:id="rId2"/>
    <sheet name="22" sheetId="8" r:id="rId3"/>
    <sheet name="23" sheetId="9" r:id="rId4"/>
    <sheet name="24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N14" i="8"/>
  <c r="N18" i="10"/>
  <c r="N7" i="10"/>
  <c r="N6" i="10"/>
  <c r="N18" i="9"/>
  <c r="N7" i="9"/>
  <c r="N6" i="9"/>
  <c r="N18" i="8"/>
  <c r="N7" i="8"/>
  <c r="N6" i="8"/>
  <c r="N18" i="7"/>
  <c r="N7" i="7"/>
  <c r="N6" i="7"/>
  <c r="E15" i="5"/>
  <c r="P12" i="8" s="1"/>
  <c r="N12" i="8" s="1"/>
  <c r="C15" i="5"/>
  <c r="P11" i="8" s="1"/>
  <c r="N11" i="8" s="1"/>
  <c r="D14" i="5"/>
  <c r="D13" i="5"/>
  <c r="D12" i="5"/>
  <c r="D11" i="5"/>
  <c r="N14" i="9"/>
  <c r="F29" i="5"/>
  <c r="N14" i="10" s="1"/>
  <c r="C29" i="5"/>
  <c r="D28" i="5"/>
  <c r="D27" i="5"/>
  <c r="D26" i="5"/>
  <c r="E29" i="5"/>
  <c r="D25" i="5"/>
  <c r="C22" i="5"/>
  <c r="P11" i="9" s="1"/>
  <c r="N11" i="9" s="1"/>
  <c r="D21" i="5"/>
  <c r="D20" i="5"/>
  <c r="D19" i="5"/>
  <c r="D18" i="5"/>
  <c r="D15" i="5" l="1"/>
  <c r="P10" i="8" s="1"/>
  <c r="N10" i="8" s="1"/>
  <c r="N13" i="8" s="1"/>
  <c r="D29" i="5"/>
  <c r="D22" i="5"/>
  <c r="P10" i="9" s="1"/>
  <c r="N10" i="9" s="1"/>
  <c r="E22" i="5"/>
  <c r="P12" i="9" s="1"/>
  <c r="N12" i="9" s="1"/>
  <c r="N13" i="9" l="1"/>
  <c r="N14" i="7" l="1"/>
  <c r="N15" i="8"/>
  <c r="N15" i="9"/>
  <c r="E8" i="5" l="1"/>
  <c r="P12" i="7" l="1"/>
  <c r="N12" i="7" s="1"/>
  <c r="P12" i="10"/>
  <c r="N12" i="10" s="1"/>
  <c r="C8" i="5"/>
  <c r="D8" i="5"/>
  <c r="P10" i="10" l="1"/>
  <c r="N10" i="10" s="1"/>
  <c r="P10" i="7"/>
  <c r="N10" i="7" s="1"/>
  <c r="P11" i="7"/>
  <c r="N11" i="7" s="1"/>
  <c r="P11" i="10"/>
  <c r="N11" i="10" s="1"/>
  <c r="N13" i="7" l="1"/>
  <c r="N15" i="7" s="1"/>
  <c r="N13" i="10"/>
  <c r="N1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2" authorId="0" shapeId="0" xr:uid="{220F1D6F-2599-4BD6-8335-148126C09201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2" authorId="0" shapeId="0" xr:uid="{09C0C3B0-3F18-416B-B296-EF3D1E29777E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2" authorId="0" shapeId="0" xr:uid="{3E564742-24E5-49E0-8AEB-6B419AFA5747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2" authorId="0" shapeId="0" xr:uid="{572847A7-DD3A-4F75-90F9-60FE91133F3B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<sst xmlns="http://schemas.openxmlformats.org/spreadsheetml/2006/main" count="296" uniqueCount="75">
  <si>
    <t>الاسم</t>
  </si>
  <si>
    <t>المجموع</t>
  </si>
  <si>
    <t>الرقم</t>
  </si>
  <si>
    <t>التعويض العائلي</t>
  </si>
  <si>
    <t>نهاية خدمة</t>
  </si>
  <si>
    <t>مرض وامومة</t>
  </si>
  <si>
    <t>تعويضات عائلية</t>
  </si>
  <si>
    <t>بيروت - لبنان</t>
  </si>
  <si>
    <t xml:space="preserve">حقل مخصص للصندوق </t>
  </si>
  <si>
    <t>حقل مخصص لاصحاب العمل</t>
  </si>
  <si>
    <t xml:space="preserve">ملاحظات </t>
  </si>
  <si>
    <t xml:space="preserve">المدة </t>
  </si>
  <si>
    <t xml:space="preserve">طريقة دفع الاشتراكات </t>
  </si>
  <si>
    <t xml:space="preserve">زيارات التاخير                                                                 </t>
  </si>
  <si>
    <t xml:space="preserve">الاشتركات </t>
  </si>
  <si>
    <t xml:space="preserve">الاشترؤكات المستحقة </t>
  </si>
  <si>
    <t xml:space="preserve">المعدل </t>
  </si>
  <si>
    <t xml:space="preserve">الاجور ولواحقها </t>
  </si>
  <si>
    <t>عدد الاجراء</t>
  </si>
  <si>
    <t xml:space="preserve">فرع </t>
  </si>
  <si>
    <t>النوع</t>
  </si>
  <si>
    <t xml:space="preserve">الفئة </t>
  </si>
  <si>
    <t xml:space="preserve">المرجع </t>
  </si>
  <si>
    <t xml:space="preserve">الرمز </t>
  </si>
  <si>
    <t xml:space="preserve"> ط ل </t>
  </si>
  <si>
    <t xml:space="preserve">المدفوع </t>
  </si>
  <si>
    <t xml:space="preserve">المتوجب </t>
  </si>
  <si>
    <t xml:space="preserve">الرمز       </t>
  </si>
  <si>
    <t>3凵0凵1凵0凵</t>
  </si>
  <si>
    <t>凵凵凵</t>
  </si>
  <si>
    <t xml:space="preserve"> الاشتراكاتX 凵凵凵凵凵        عدد الايام X 1/1000</t>
  </si>
  <si>
    <t>凵0凵1凵                                                                 凵1凵1凵</t>
  </si>
  <si>
    <t xml:space="preserve">المرض و الامومة </t>
  </si>
  <si>
    <t xml:space="preserve">ز </t>
  </si>
  <si>
    <t>凵1凵0凵1凵0凵</t>
  </si>
  <si>
    <t xml:space="preserve">تعويض نهاية الخدمة </t>
  </si>
  <si>
    <t xml:space="preserve">التعويضات العائلية </t>
  </si>
  <si>
    <t xml:space="preserve">             </t>
  </si>
  <si>
    <t xml:space="preserve">       　　الصندوق الوطني  </t>
  </si>
  <si>
    <t>　　　　　                 　　　　　　　　　　　　　　　　　</t>
  </si>
  <si>
    <t>　للضمان الاجتماعي</t>
  </si>
  <si>
    <t xml:space="preserve">جدول الاشتراكات المستحقة عن شهر </t>
  </si>
  <si>
    <t>المتوجب تسديدها خلال مهلة خمسة عشر يوما اعتبارا</t>
  </si>
  <si>
    <t>من نهاية شهر الاستحقاق أو من تاريخ الاستلام</t>
  </si>
  <si>
    <t xml:space="preserve">ان رب العمل الموقع أدناه يشهد على مسؤوليته أن الأجور وكافة المعلومات </t>
  </si>
  <si>
    <t>ختم المؤسسة</t>
  </si>
  <si>
    <t>مجموع المبالغ المدفوعة</t>
  </si>
  <si>
    <t xml:space="preserve">المصرح بها أعلاه هي مطابقة للحقيقة والواقع </t>
  </si>
  <si>
    <t>المصفي</t>
  </si>
  <si>
    <t>المراقب</t>
  </si>
  <si>
    <t>المحاسب</t>
  </si>
  <si>
    <t>توقيع رب العمل</t>
  </si>
  <si>
    <t>CNSS 190A</t>
  </si>
  <si>
    <t>ملاحظة هامة : يتوجب اعادة هذا الجدول مع جدول التعويضات العائلية المرفق تحت طائلة عدم الاخذ بقيمة التعويضات العائلية المدفوعة من قبلكم .</t>
  </si>
  <si>
    <t xml:space="preserve">   凵凵凵                                                                            凵凵凵                                                                            凵凵凵</t>
  </si>
  <si>
    <t>凵2凵0凵1凵0凵</t>
  </si>
  <si>
    <t>فترة           سنة</t>
  </si>
  <si>
    <t>اسم المؤسسة</t>
  </si>
  <si>
    <t>رقم المؤسسة</t>
  </si>
  <si>
    <t>مجموع الاشتراكات المستحقة</t>
  </si>
  <si>
    <t>التعويضات العائلية المدفوعة</t>
  </si>
  <si>
    <t>الزيادة المتوجبة على الصندوق / الباقي المتوجب للصندوق</t>
  </si>
  <si>
    <t xml:space="preserve">صور            في         </t>
  </si>
  <si>
    <t>24-2026</t>
  </si>
  <si>
    <t>23-2026</t>
  </si>
  <si>
    <t>22-2026</t>
  </si>
  <si>
    <t>21-2026</t>
  </si>
  <si>
    <t>التوقيع</t>
  </si>
  <si>
    <t xml:space="preserve">الاشتراكات المستحقة </t>
  </si>
  <si>
    <t>XYZ</t>
  </si>
  <si>
    <t>43-61-0000</t>
  </si>
  <si>
    <t>QWE</t>
  </si>
  <si>
    <t>ABC</t>
  </si>
  <si>
    <t>MNP</t>
  </si>
  <si>
    <t>KLJ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</si>
</sst>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_-* #,##0.00\-;_-* &quot;-&quot;??_-;_-@_-"/>
    <numFmt numFmtId="165" formatCode="_(* #,##0_);_(* \(#,##0\);_(* &quot;-&quot;??_);_(@_)"/>
    <numFmt numFmtId="166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b/>
      <sz val="14"/>
      <color theme="1"/>
      <name val="SimSun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sz val="6.5"/>
      <color theme="1"/>
      <name val="Calibri"/>
      <family val="2"/>
    </font>
    <font>
      <sz val="6.5"/>
      <color theme="1"/>
      <name val="SimSun"/>
      <family val="2"/>
    </font>
    <font>
      <sz val="6.5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SimSu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8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2" applyFont="1" applyAlignment="1">
      <alignment horizontal="right" vertical="center" wrapText="1"/>
    </xf>
    <xf numFmtId="0" fontId="7" fillId="0" borderId="0" xfId="2"/>
    <xf numFmtId="0" fontId="11" fillId="0" borderId="1" xfId="2" applyFont="1" applyBorder="1" applyAlignment="1">
      <alignment horizontal="center" vertical="center" wrapText="1"/>
    </xf>
    <xf numFmtId="0" fontId="7" fillId="0" borderId="1" xfId="2" applyBorder="1" applyAlignment="1">
      <alignment horizontal="center" vertical="center" wrapText="1"/>
    </xf>
    <xf numFmtId="0" fontId="7" fillId="0" borderId="1" xfId="2" applyBorder="1" applyAlignment="1">
      <alignment horizontal="left" vertical="center" wrapText="1"/>
    </xf>
    <xf numFmtId="1" fontId="11" fillId="0" borderId="1" xfId="2" applyNumberFormat="1" applyFont="1" applyBorder="1" applyAlignment="1">
      <alignment horizontal="right" vertical="center" wrapText="1"/>
    </xf>
    <xf numFmtId="0" fontId="12" fillId="0" borderId="1" xfId="2" applyFont="1" applyBorder="1" applyAlignment="1">
      <alignment horizontal="left" vertical="center" wrapText="1"/>
    </xf>
    <xf numFmtId="0" fontId="8" fillId="0" borderId="0" xfId="2" applyFont="1" applyAlignment="1">
      <alignment horizontal="right" vertical="center" wrapText="1"/>
    </xf>
    <xf numFmtId="0" fontId="10" fillId="0" borderId="11" xfId="2" applyFont="1" applyBorder="1" applyAlignment="1">
      <alignment vertical="center" wrapText="1"/>
    </xf>
    <xf numFmtId="0" fontId="7" fillId="0" borderId="0" xfId="2" applyAlignment="1">
      <alignment horizontal="center" vertical="center" wrapText="1"/>
    </xf>
    <xf numFmtId="0" fontId="7" fillId="0" borderId="0" xfId="2" applyAlignment="1">
      <alignment horizontal="right" vertical="center" wrapText="1"/>
    </xf>
    <xf numFmtId="0" fontId="15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center" vertical="center" textRotation="90" wrapText="1"/>
    </xf>
    <xf numFmtId="165" fontId="17" fillId="0" borderId="1" xfId="1" applyNumberFormat="1" applyFont="1" applyBorder="1" applyAlignment="1">
      <alignment horizontal="center" vertical="center" wrapText="1"/>
    </xf>
    <xf numFmtId="9" fontId="20" fillId="0" borderId="1" xfId="2" applyNumberFormat="1" applyFont="1" applyBorder="1" applyAlignment="1">
      <alignment horizontal="center" vertical="center" wrapText="1"/>
    </xf>
    <xf numFmtId="165" fontId="17" fillId="0" borderId="1" xfId="1" applyNumberFormat="1" applyFont="1" applyBorder="1" applyAlignment="1">
      <alignment vertical="center" wrapText="1"/>
    </xf>
    <xf numFmtId="166" fontId="20" fillId="0" borderId="1" xfId="2" applyNumberFormat="1" applyFont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7" fillId="0" borderId="1" xfId="2" applyBorder="1" applyAlignment="1">
      <alignment horizontal="left" vertical="center" wrapText="1"/>
    </xf>
    <xf numFmtId="0" fontId="7" fillId="0" borderId="12" xfId="2" applyBorder="1" applyAlignment="1">
      <alignment horizontal="left" vertical="center" wrapText="1"/>
    </xf>
    <xf numFmtId="0" fontId="7" fillId="0" borderId="13" xfId="2" applyBorder="1" applyAlignment="1">
      <alignment horizontal="left" vertical="center" wrapText="1"/>
    </xf>
    <xf numFmtId="0" fontId="7" fillId="0" borderId="14" xfId="2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14" fillId="0" borderId="1" xfId="2" applyFont="1" applyBorder="1" applyAlignment="1">
      <alignment horizontal="center" wrapText="1"/>
    </xf>
    <xf numFmtId="0" fontId="15" fillId="0" borderId="1" xfId="2" applyFont="1" applyBorder="1" applyAlignment="1">
      <alignment horizontal="center" wrapText="1"/>
    </xf>
    <xf numFmtId="0" fontId="21" fillId="0" borderId="12" xfId="2" applyFont="1" applyBorder="1" applyAlignment="1">
      <alignment horizontal="left" vertical="center" wrapText="1"/>
    </xf>
    <xf numFmtId="0" fontId="21" fillId="0" borderId="13" xfId="2" applyFont="1" applyBorder="1" applyAlignment="1">
      <alignment horizontal="left" vertical="center"/>
    </xf>
    <xf numFmtId="0" fontId="21" fillId="0" borderId="14" xfId="2" applyFont="1" applyBorder="1" applyAlignment="1">
      <alignment horizontal="left" vertical="center"/>
    </xf>
    <xf numFmtId="0" fontId="15" fillId="0" borderId="0" xfId="2" applyFont="1" applyAlignment="1">
      <alignment horizontal="center" vertical="center" wrapText="1"/>
    </xf>
    <xf numFmtId="0" fontId="7" fillId="0" borderId="0" xfId="2" applyAlignment="1">
      <alignment horizontal="center" vertical="center" wrapText="1"/>
    </xf>
    <xf numFmtId="0" fontId="7" fillId="0" borderId="0" xfId="2" applyAlignment="1">
      <alignment horizontal="right" vertical="center" wrapText="1"/>
    </xf>
    <xf numFmtId="0" fontId="7" fillId="0" borderId="17" xfId="2" applyBorder="1" applyAlignment="1">
      <alignment horizontal="center"/>
    </xf>
    <xf numFmtId="0" fontId="15" fillId="0" borderId="20" xfId="2" applyFont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7" fillId="0" borderId="11" xfId="2" applyBorder="1" applyAlignment="1">
      <alignment horizontal="center" vertical="center" wrapText="1"/>
    </xf>
    <xf numFmtId="0" fontId="7" fillId="0" borderId="21" xfId="2" applyBorder="1" applyAlignment="1">
      <alignment horizontal="center" vertical="center" wrapText="1"/>
    </xf>
    <xf numFmtId="0" fontId="7" fillId="0" borderId="18" xfId="2" applyBorder="1" applyAlignment="1">
      <alignment horizontal="center" vertical="center" wrapText="1"/>
    </xf>
    <xf numFmtId="0" fontId="7" fillId="0" borderId="0" xfId="2" applyAlignment="1">
      <alignment horizontal="left" vertical="center" wrapText="1"/>
    </xf>
    <xf numFmtId="0" fontId="7" fillId="0" borderId="19" xfId="2" applyBorder="1" applyAlignment="1">
      <alignment horizontal="left" vertical="center" wrapText="1"/>
    </xf>
    <xf numFmtId="14" fontId="7" fillId="0" borderId="0" xfId="2" applyNumberForma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7" fillId="0" borderId="19" xfId="2" applyBorder="1" applyAlignment="1">
      <alignment horizontal="right" vertical="center" wrapText="1"/>
    </xf>
    <xf numFmtId="0" fontId="15" fillId="0" borderId="18" xfId="2" applyFont="1" applyBorder="1" applyAlignment="1">
      <alignment horizontal="center" vertical="center" wrapText="1"/>
    </xf>
    <xf numFmtId="0" fontId="7" fillId="0" borderId="19" xfId="2" applyBorder="1" applyAlignment="1">
      <alignment horizontal="center" vertical="center" wrapText="1"/>
    </xf>
    <xf numFmtId="0" fontId="7" fillId="0" borderId="15" xfId="2" applyBorder="1" applyAlignment="1">
      <alignment horizontal="center" vertical="center" wrapText="1"/>
    </xf>
    <xf numFmtId="0" fontId="7" fillId="0" borderId="17" xfId="2" applyBorder="1" applyAlignment="1">
      <alignment horizontal="center" vertical="center" wrapText="1"/>
    </xf>
    <xf numFmtId="0" fontId="7" fillId="0" borderId="16" xfId="2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9" fillId="0" borderId="0" xfId="2" applyFont="1" applyAlignment="1">
      <alignment horizontal="right" vertical="center" wrapText="1"/>
    </xf>
    <xf numFmtId="0" fontId="10" fillId="0" borderId="11" xfId="2" applyFont="1" applyBorder="1" applyAlignment="1">
      <alignment horizontal="right" vertical="center" wrapText="1"/>
    </xf>
    <xf numFmtId="0" fontId="19" fillId="0" borderId="11" xfId="2" applyFont="1" applyBorder="1" applyAlignment="1">
      <alignment horizontal="center" vertical="center" wrapText="1"/>
    </xf>
    <xf numFmtId="0" fontId="21" fillId="0" borderId="12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 wrapText="1"/>
    </xf>
    <xf numFmtId="0" fontId="7" fillId="0" borderId="1" xfId="2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 wrapText="1"/>
    </xf>
    <xf numFmtId="0" fontId="7" fillId="0" borderId="1" xfId="2" applyBorder="1" applyAlignment="1">
      <alignment horizontal="center" wrapText="1"/>
    </xf>
    <xf numFmtId="0" fontId="12" fillId="0" borderId="1" xfId="2" applyFont="1" applyBorder="1" applyAlignment="1">
      <alignment horizontal="center" vertical="top" wrapText="1"/>
    </xf>
    <xf numFmtId="0" fontId="11" fillId="0" borderId="12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23" fillId="0" borderId="12" xfId="2" applyFont="1" applyBorder="1" applyAlignment="1">
      <alignment horizontal="center" vertical="center" wrapText="1"/>
    </xf>
    <xf numFmtId="0" fontId="23" fillId="0" borderId="13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64E48782-B75D-49B0-83DC-F12B16E669A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47624</xdr:colOff>
      <xdr:row>7</xdr:row>
      <xdr:rowOff>123824</xdr:rowOff>
    </xdr:from>
    <xdr:ext cx="76201" cy="1428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EA04577-74AE-4B25-A591-796C79EDDCDD}"/>
            </a:ext>
          </a:extLst>
        </xdr:cNvPr>
        <xdr:cNvSpPr txBox="1"/>
      </xdr:nvSpPr>
      <xdr:spPr>
        <a:xfrm flipH="1">
          <a:off x="10166984" y="2097404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11</xdr:row>
      <xdr:rowOff>0</xdr:rowOff>
    </xdr:from>
    <xdr:ext cx="6096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C344579F-1656-4FAB-833E-A7B212E1E0D2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⋯</m:t>
                        </m:r>
                      </m:den>
                    </m:f>
                    <m:r>
                      <a:rPr lang="en-US" altLang="zh-CN" sz="50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altLang="zh-CN" sz="5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)∪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C344579F-1656-4FAB-833E-A7B212E1E0D2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500" i="0">
                  <a:latin typeface="Cambria Math" panose="02040503050406030204" pitchFamily="18" charset="0"/>
                </a:rPr>
                <a:t>1/(𝑟⋯)×1/𝑟^((1,𝑦)∪𝑐) 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17</xdr:col>
      <xdr:colOff>47624</xdr:colOff>
      <xdr:row>22</xdr:row>
      <xdr:rowOff>0</xdr:rowOff>
    </xdr:from>
    <xdr:ext cx="76201" cy="142875"/>
    <xdr:sp macro="" textlink="">
      <xdr:nvSpPr>
        <xdr:cNvPr id="5" name="文本框 1">
          <a:extLst>
            <a:ext uri="{FF2B5EF4-FFF2-40B4-BE49-F238E27FC236}">
              <a16:creationId xmlns:a16="http://schemas.microsoft.com/office/drawing/2014/main" id="{A9A94679-97D0-4BE0-973A-C7603C4AD534}"/>
            </a:ext>
          </a:extLst>
        </xdr:cNvPr>
        <xdr:cNvSpPr txBox="1"/>
      </xdr:nvSpPr>
      <xdr:spPr>
        <a:xfrm flipH="1">
          <a:off x="10166984" y="6995160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47624</xdr:colOff>
      <xdr:row>7</xdr:row>
      <xdr:rowOff>123824</xdr:rowOff>
    </xdr:from>
    <xdr:ext cx="76201" cy="1428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CA3ACDC-725B-45FB-ACE9-753F50EA80D9}"/>
            </a:ext>
          </a:extLst>
        </xdr:cNvPr>
        <xdr:cNvSpPr txBox="1"/>
      </xdr:nvSpPr>
      <xdr:spPr>
        <a:xfrm flipH="1">
          <a:off x="10166984" y="2097404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  <xdr:oneCellAnchor>
    <xdr:from>
      <xdr:col>7</xdr:col>
      <xdr:colOff>0</xdr:colOff>
      <xdr:row>11</xdr:row>
      <xdr:rowOff>0</xdr:rowOff>
    </xdr:from>
    <xdr:ext cx="6096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B2BBA06C-0796-4473-B16D-2AB323462F38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⋯</m:t>
                        </m:r>
                      </m:den>
                    </m:f>
                    <m:r>
                      <a:rPr lang="en-US" altLang="zh-CN" sz="50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altLang="zh-CN" sz="5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)∪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B2BBA06C-0796-4473-B16D-2AB323462F38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500" i="0">
                  <a:latin typeface="Cambria Math" panose="02040503050406030204" pitchFamily="18" charset="0"/>
                </a:rPr>
                <a:t>1/(𝑟⋯)×1/𝑟^((1,𝑦)∪𝑐) 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17</xdr:col>
      <xdr:colOff>47624</xdr:colOff>
      <xdr:row>22</xdr:row>
      <xdr:rowOff>0</xdr:rowOff>
    </xdr:from>
    <xdr:ext cx="76201" cy="142875"/>
    <xdr:sp macro="" textlink="">
      <xdr:nvSpPr>
        <xdr:cNvPr id="4" name="文本框 1">
          <a:extLst>
            <a:ext uri="{FF2B5EF4-FFF2-40B4-BE49-F238E27FC236}">
              <a16:creationId xmlns:a16="http://schemas.microsoft.com/office/drawing/2014/main" id="{1FDDC9FA-BD43-4B95-B057-2163A94B9F4D}"/>
            </a:ext>
          </a:extLst>
        </xdr:cNvPr>
        <xdr:cNvSpPr txBox="1"/>
      </xdr:nvSpPr>
      <xdr:spPr>
        <a:xfrm flipH="1">
          <a:off x="10166984" y="6995160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47624</xdr:colOff>
      <xdr:row>7</xdr:row>
      <xdr:rowOff>123824</xdr:rowOff>
    </xdr:from>
    <xdr:ext cx="76201" cy="1428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63941EF-2484-4441-ACB5-3ADA1BFEEDCE}"/>
            </a:ext>
          </a:extLst>
        </xdr:cNvPr>
        <xdr:cNvSpPr txBox="1"/>
      </xdr:nvSpPr>
      <xdr:spPr>
        <a:xfrm flipH="1">
          <a:off x="10166984" y="2097404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  <xdr:oneCellAnchor>
    <xdr:from>
      <xdr:col>7</xdr:col>
      <xdr:colOff>0</xdr:colOff>
      <xdr:row>11</xdr:row>
      <xdr:rowOff>0</xdr:rowOff>
    </xdr:from>
    <xdr:ext cx="6096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8AE6D5AB-6A6C-461A-A430-E389FC32ACE4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⋯</m:t>
                        </m:r>
                      </m:den>
                    </m:f>
                    <m:r>
                      <a:rPr lang="en-US" altLang="zh-CN" sz="50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altLang="zh-CN" sz="5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)∪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8AE6D5AB-6A6C-461A-A430-E389FC32ACE4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500" i="0">
                  <a:latin typeface="Cambria Math" panose="02040503050406030204" pitchFamily="18" charset="0"/>
                </a:rPr>
                <a:t>1/(𝑟⋯)×1/𝑟^((1,𝑦)∪𝑐) 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17</xdr:col>
      <xdr:colOff>47624</xdr:colOff>
      <xdr:row>22</xdr:row>
      <xdr:rowOff>0</xdr:rowOff>
    </xdr:from>
    <xdr:ext cx="76201" cy="142875"/>
    <xdr:sp macro="" textlink="">
      <xdr:nvSpPr>
        <xdr:cNvPr id="4" name="文本框 1">
          <a:extLst>
            <a:ext uri="{FF2B5EF4-FFF2-40B4-BE49-F238E27FC236}">
              <a16:creationId xmlns:a16="http://schemas.microsoft.com/office/drawing/2014/main" id="{A14A7C59-460E-4201-B489-8CBD64EE405E}"/>
            </a:ext>
          </a:extLst>
        </xdr:cNvPr>
        <xdr:cNvSpPr txBox="1"/>
      </xdr:nvSpPr>
      <xdr:spPr>
        <a:xfrm flipH="1">
          <a:off x="10166984" y="6995160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47624</xdr:colOff>
      <xdr:row>7</xdr:row>
      <xdr:rowOff>123824</xdr:rowOff>
    </xdr:from>
    <xdr:ext cx="76201" cy="1428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6DB0EFF-89D9-43EF-89D7-387FA8D978C8}"/>
            </a:ext>
          </a:extLst>
        </xdr:cNvPr>
        <xdr:cNvSpPr txBox="1"/>
      </xdr:nvSpPr>
      <xdr:spPr>
        <a:xfrm flipH="1">
          <a:off x="10166984" y="2097404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  <xdr:oneCellAnchor>
    <xdr:from>
      <xdr:col>7</xdr:col>
      <xdr:colOff>0</xdr:colOff>
      <xdr:row>11</xdr:row>
      <xdr:rowOff>0</xdr:rowOff>
    </xdr:from>
    <xdr:ext cx="609600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23174241-81CC-4E88-8EEC-4394CE69B2DE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⋯</m:t>
                        </m:r>
                      </m:den>
                    </m:f>
                    <m:r>
                      <a:rPr lang="en-US" altLang="zh-CN" sz="50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altLang="zh-CN" sz="5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5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altLang="zh-CN" sz="5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)∪</m:t>
                            </m:r>
                            <m:r>
                              <a:rPr lang="en-US" altLang="zh-CN" sz="5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23174241-81CC-4E88-8EEC-4394CE69B2DE}"/>
                </a:ext>
              </a:extLst>
            </xdr:cNvPr>
            <xdr:cNvSpPr txBox="1"/>
          </xdr:nvSpPr>
          <xdr:spPr>
            <a:xfrm>
              <a:off x="3177540" y="3886200"/>
              <a:ext cx="609600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500" i="0">
                  <a:latin typeface="Cambria Math" panose="02040503050406030204" pitchFamily="18" charset="0"/>
                </a:rPr>
                <a:t>1/(𝑟⋯)×1/𝑟^((1,𝑦)∪𝑐) 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17</xdr:col>
      <xdr:colOff>47624</xdr:colOff>
      <xdr:row>22</xdr:row>
      <xdr:rowOff>0</xdr:rowOff>
    </xdr:from>
    <xdr:ext cx="76201" cy="142875"/>
    <xdr:sp macro="" textlink="">
      <xdr:nvSpPr>
        <xdr:cNvPr id="4" name="文本框 1">
          <a:extLst>
            <a:ext uri="{FF2B5EF4-FFF2-40B4-BE49-F238E27FC236}">
              <a16:creationId xmlns:a16="http://schemas.microsoft.com/office/drawing/2014/main" id="{8F5D5603-3CF1-4ED7-9CAD-6A1BFDE9024D}"/>
            </a:ext>
          </a:extLst>
        </xdr:cNvPr>
        <xdr:cNvSpPr txBox="1"/>
      </xdr:nvSpPr>
      <xdr:spPr>
        <a:xfrm flipH="1">
          <a:off x="10166984" y="6995160"/>
          <a:ext cx="76201" cy="142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ar-LB" altLang="zh-CN" sz="1100" b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tabSelected="1" topLeftCell="B1" workbookViewId="0">
      <selection activeCell="H10" sqref="H10"/>
    </sheetView>
  </sheetViews>
  <sheetFormatPr defaultColWidth="9.109375" defaultRowHeight="13.8" x14ac:dyDescent="0.3"/>
  <cols>
    <col min="1" max="1" width="5.33203125" style="2" bestFit="1" customWidth="1"/>
    <col min="2" max="2" width="18.6640625" style="2" bestFit="1" customWidth="1"/>
    <col min="3" max="3" width="17.5546875" style="2" bestFit="1" customWidth="1"/>
    <col min="4" max="6" width="17.5546875" style="2" customWidth="1"/>
    <col min="7" max="10" width="17.5546875" style="2" bestFit="1" customWidth="1"/>
    <col min="11" max="11" width="11.44140625" style="2" bestFit="1" customWidth="1"/>
    <col min="12" max="12" width="12.88671875" style="2" bestFit="1" customWidth="1"/>
    <col min="13" max="16384" width="9.109375" style="2"/>
  </cols>
  <sheetData>
    <row r="1" spans="1:10" ht="23.4" thickBot="1" x14ac:dyDescent="0.35">
      <c r="A1" s="34" t="s">
        <v>69</v>
      </c>
      <c r="B1" s="30"/>
      <c r="C1" s="30"/>
      <c r="D1" s="30"/>
      <c r="E1" s="30"/>
      <c r="F1" s="30" t="s">
        <v>70</v>
      </c>
      <c r="G1" s="30"/>
      <c r="H1" s="30"/>
      <c r="I1" s="31"/>
      <c r="J1" s="7"/>
    </row>
    <row r="2" spans="1:10" ht="14.4" thickBot="1" x14ac:dyDescent="0.35"/>
    <row r="3" spans="1:10" ht="18" x14ac:dyDescent="0.3">
      <c r="A3" s="3" t="s">
        <v>2</v>
      </c>
      <c r="B3" s="4" t="s">
        <v>0</v>
      </c>
      <c r="C3" s="4" t="s">
        <v>4</v>
      </c>
      <c r="D3" s="4" t="s">
        <v>5</v>
      </c>
      <c r="E3" s="4" t="s">
        <v>6</v>
      </c>
      <c r="F3" s="28" t="s">
        <v>67</v>
      </c>
    </row>
    <row r="4" spans="1:10" ht="18" x14ac:dyDescent="0.3">
      <c r="A4" s="5">
        <v>1</v>
      </c>
      <c r="B4" s="1" t="s">
        <v>71</v>
      </c>
      <c r="C4" s="26">
        <v>28000000</v>
      </c>
      <c r="D4" s="26">
        <f>C4</f>
        <v>28000000</v>
      </c>
      <c r="E4" s="26">
        <v>18000000</v>
      </c>
      <c r="F4" s="28"/>
    </row>
    <row r="5" spans="1:10" ht="18" x14ac:dyDescent="0.3">
      <c r="A5" s="5">
        <v>2</v>
      </c>
      <c r="B5" s="1" t="s">
        <v>72</v>
      </c>
      <c r="C5" s="26">
        <v>28000000</v>
      </c>
      <c r="D5" s="26">
        <f t="shared" ref="D5:D7" si="0">C5</f>
        <v>28000000</v>
      </c>
      <c r="E5" s="26">
        <v>18000000</v>
      </c>
      <c r="F5" s="29"/>
    </row>
    <row r="6" spans="1:10" ht="18" x14ac:dyDescent="0.3">
      <c r="A6" s="5">
        <v>3</v>
      </c>
      <c r="B6" s="1" t="s">
        <v>73</v>
      </c>
      <c r="C6" s="26">
        <v>28000000</v>
      </c>
      <c r="D6" s="26">
        <f t="shared" si="0"/>
        <v>28000000</v>
      </c>
      <c r="E6" s="26">
        <v>18000000</v>
      </c>
      <c r="F6" s="28"/>
    </row>
    <row r="7" spans="1:10" ht="18" x14ac:dyDescent="0.3">
      <c r="A7" s="5">
        <v>4</v>
      </c>
      <c r="B7" s="1" t="s">
        <v>74</v>
      </c>
      <c r="C7" s="26">
        <v>28000000</v>
      </c>
      <c r="D7" s="26">
        <f t="shared" si="0"/>
        <v>28000000</v>
      </c>
      <c r="E7" s="26">
        <v>18000000</v>
      </c>
      <c r="F7" s="28"/>
    </row>
    <row r="8" spans="1:10" ht="18" thickBot="1" x14ac:dyDescent="0.35">
      <c r="A8" s="32" t="s">
        <v>1</v>
      </c>
      <c r="B8" s="33"/>
      <c r="C8" s="27">
        <f t="shared" ref="C8:E8" si="1">SUM(C4:C7)</f>
        <v>112000000</v>
      </c>
      <c r="D8" s="27">
        <f t="shared" si="1"/>
        <v>112000000</v>
      </c>
      <c r="E8" s="27">
        <f t="shared" si="1"/>
        <v>72000000</v>
      </c>
      <c r="F8" s="28"/>
    </row>
    <row r="9" spans="1:10" ht="14.4" thickBot="1" x14ac:dyDescent="0.35"/>
    <row r="10" spans="1:10" ht="18" x14ac:dyDescent="0.3">
      <c r="A10" s="3" t="s">
        <v>2</v>
      </c>
      <c r="B10" s="4" t="s">
        <v>0</v>
      </c>
      <c r="C10" s="4" t="s">
        <v>4</v>
      </c>
      <c r="D10" s="4" t="s">
        <v>5</v>
      </c>
      <c r="E10" s="4" t="s">
        <v>6</v>
      </c>
      <c r="F10" s="28"/>
    </row>
    <row r="11" spans="1:10" ht="18" x14ac:dyDescent="0.3">
      <c r="A11" s="5">
        <v>1</v>
      </c>
      <c r="B11" s="1" t="s">
        <v>71</v>
      </c>
      <c r="C11" s="26">
        <v>84000000</v>
      </c>
      <c r="D11" s="26">
        <f>C11</f>
        <v>84000000</v>
      </c>
      <c r="E11" s="26">
        <v>74000000</v>
      </c>
      <c r="F11" s="28"/>
    </row>
    <row r="12" spans="1:10" ht="18" x14ac:dyDescent="0.3">
      <c r="A12" s="5">
        <v>2</v>
      </c>
      <c r="B12" s="1" t="s">
        <v>72</v>
      </c>
      <c r="C12" s="26">
        <v>84000000</v>
      </c>
      <c r="D12" s="26">
        <f t="shared" ref="D12:D14" si="2">C12</f>
        <v>84000000</v>
      </c>
      <c r="E12" s="26">
        <v>74000000</v>
      </c>
      <c r="F12" s="29"/>
    </row>
    <row r="13" spans="1:10" ht="18" x14ac:dyDescent="0.3">
      <c r="A13" s="5">
        <v>3</v>
      </c>
      <c r="B13" s="1" t="s">
        <v>73</v>
      </c>
      <c r="C13" s="26">
        <v>84000000</v>
      </c>
      <c r="D13" s="26">
        <f t="shared" si="2"/>
        <v>84000000</v>
      </c>
      <c r="E13" s="26">
        <v>74000000</v>
      </c>
      <c r="F13" s="28"/>
      <c r="G13" s="6"/>
    </row>
    <row r="14" spans="1:10" ht="18" x14ac:dyDescent="0.3">
      <c r="A14" s="5">
        <v>4</v>
      </c>
      <c r="B14" s="1" t="s">
        <v>74</v>
      </c>
      <c r="C14" s="26">
        <v>84000000</v>
      </c>
      <c r="D14" s="26">
        <f t="shared" si="2"/>
        <v>84000000</v>
      </c>
      <c r="E14" s="26">
        <v>74000000</v>
      </c>
      <c r="F14" s="28"/>
    </row>
    <row r="15" spans="1:10" ht="18" thickBot="1" x14ac:dyDescent="0.35">
      <c r="A15" s="32" t="s">
        <v>1</v>
      </c>
      <c r="B15" s="33"/>
      <c r="C15" s="27">
        <f t="shared" ref="C15:E15" si="3">SUM(C11:C14)</f>
        <v>336000000</v>
      </c>
      <c r="D15" s="27">
        <f t="shared" si="3"/>
        <v>336000000</v>
      </c>
      <c r="E15" s="27">
        <f t="shared" si="3"/>
        <v>296000000</v>
      </c>
      <c r="F15" s="28"/>
    </row>
    <row r="16" spans="1:10" ht="14.4" thickBot="1" x14ac:dyDescent="0.35"/>
    <row r="17" spans="1:6" ht="18" x14ac:dyDescent="0.3">
      <c r="A17" s="3" t="s">
        <v>2</v>
      </c>
      <c r="B17" s="4" t="s">
        <v>0</v>
      </c>
      <c r="C17" s="4" t="s">
        <v>4</v>
      </c>
      <c r="D17" s="4" t="s">
        <v>5</v>
      </c>
      <c r="E17" s="4" t="s">
        <v>6</v>
      </c>
    </row>
    <row r="18" spans="1:6" ht="18" x14ac:dyDescent="0.3">
      <c r="A18" s="5">
        <v>1</v>
      </c>
      <c r="B18" s="1" t="s">
        <v>71</v>
      </c>
      <c r="C18" s="26">
        <v>74000000</v>
      </c>
      <c r="D18" s="26">
        <f>C18</f>
        <v>74000000</v>
      </c>
      <c r="E18" s="26">
        <v>84000000</v>
      </c>
    </row>
    <row r="19" spans="1:6" ht="18" x14ac:dyDescent="0.3">
      <c r="A19" s="5">
        <v>2</v>
      </c>
      <c r="B19" s="1" t="s">
        <v>72</v>
      </c>
      <c r="C19" s="26">
        <v>74000000</v>
      </c>
      <c r="D19" s="26">
        <f t="shared" ref="D19:D21" si="4">C19</f>
        <v>74000000</v>
      </c>
      <c r="E19" s="26">
        <v>84000000</v>
      </c>
    </row>
    <row r="20" spans="1:6" ht="18" x14ac:dyDescent="0.3">
      <c r="A20" s="5">
        <v>3</v>
      </c>
      <c r="B20" s="1" t="s">
        <v>73</v>
      </c>
      <c r="C20" s="26">
        <v>74000000</v>
      </c>
      <c r="D20" s="26">
        <f t="shared" si="4"/>
        <v>74000000</v>
      </c>
      <c r="E20" s="26">
        <v>84000000</v>
      </c>
    </row>
    <row r="21" spans="1:6" ht="18" x14ac:dyDescent="0.3">
      <c r="A21" s="5">
        <v>4</v>
      </c>
      <c r="B21" s="1" t="s">
        <v>74</v>
      </c>
      <c r="C21" s="26">
        <v>74000000</v>
      </c>
      <c r="D21" s="26">
        <f t="shared" si="4"/>
        <v>74000000</v>
      </c>
      <c r="E21" s="26">
        <v>84000000</v>
      </c>
      <c r="F21" s="6"/>
    </row>
    <row r="22" spans="1:6" ht="18" thickBot="1" x14ac:dyDescent="0.35">
      <c r="A22" s="32" t="s">
        <v>1</v>
      </c>
      <c r="B22" s="33"/>
      <c r="C22" s="27">
        <f t="shared" ref="C22:E22" si="5">SUM(C18:C21)</f>
        <v>296000000</v>
      </c>
      <c r="D22" s="27">
        <f t="shared" si="5"/>
        <v>296000000</v>
      </c>
      <c r="E22" s="27">
        <f t="shared" si="5"/>
        <v>336000000</v>
      </c>
    </row>
    <row r="23" spans="1:6" ht="14.4" thickBot="1" x14ac:dyDescent="0.35"/>
    <row r="24" spans="1:6" ht="18" x14ac:dyDescent="0.3">
      <c r="A24" s="3" t="s">
        <v>2</v>
      </c>
      <c r="B24" s="4" t="s">
        <v>0</v>
      </c>
      <c r="C24" s="4" t="s">
        <v>4</v>
      </c>
      <c r="D24" s="4" t="s">
        <v>5</v>
      </c>
      <c r="E24" s="4" t="s">
        <v>6</v>
      </c>
      <c r="F24" s="4" t="s">
        <v>3</v>
      </c>
    </row>
    <row r="25" spans="1:6" ht="18" x14ac:dyDescent="0.3">
      <c r="A25" s="5">
        <v>1</v>
      </c>
      <c r="B25" s="1" t="s">
        <v>71</v>
      </c>
      <c r="C25" s="26">
        <v>84000000</v>
      </c>
      <c r="D25" s="26">
        <f>C25</f>
        <v>84000000</v>
      </c>
      <c r="E25" s="26">
        <v>84000000</v>
      </c>
      <c r="F25" s="26">
        <v>0</v>
      </c>
    </row>
    <row r="26" spans="1:6" ht="18" x14ac:dyDescent="0.3">
      <c r="A26" s="5">
        <v>2</v>
      </c>
      <c r="B26" s="1" t="s">
        <v>72</v>
      </c>
      <c r="C26" s="26">
        <v>84000000</v>
      </c>
      <c r="D26" s="26">
        <f t="shared" ref="D26:D28" si="6">C26</f>
        <v>84000000</v>
      </c>
      <c r="E26" s="26">
        <v>84000000</v>
      </c>
      <c r="F26" s="26">
        <v>11520000</v>
      </c>
    </row>
    <row r="27" spans="1:6" ht="18" x14ac:dyDescent="0.3">
      <c r="A27" s="5">
        <v>3</v>
      </c>
      <c r="B27" s="1" t="s">
        <v>73</v>
      </c>
      <c r="C27" s="26">
        <v>84000000</v>
      </c>
      <c r="D27" s="26">
        <f t="shared" si="6"/>
        <v>84000000</v>
      </c>
      <c r="E27" s="26">
        <v>84000000</v>
      </c>
      <c r="F27" s="26">
        <v>7560000</v>
      </c>
    </row>
    <row r="28" spans="1:6" ht="18" x14ac:dyDescent="0.3">
      <c r="A28" s="5">
        <v>4</v>
      </c>
      <c r="B28" s="1" t="s">
        <v>74</v>
      </c>
      <c r="C28" s="26">
        <v>84000000</v>
      </c>
      <c r="D28" s="26">
        <f t="shared" si="6"/>
        <v>84000000</v>
      </c>
      <c r="E28" s="26">
        <v>84000000</v>
      </c>
      <c r="F28" s="26">
        <v>7560000</v>
      </c>
    </row>
    <row r="29" spans="1:6" ht="18" thickBot="1" x14ac:dyDescent="0.35">
      <c r="A29" s="32" t="s">
        <v>1</v>
      </c>
      <c r="B29" s="33"/>
      <c r="C29" s="27">
        <f>SUM(C25:C28)</f>
        <v>336000000</v>
      </c>
      <c r="D29" s="27">
        <f>SUM(D25:D28)</f>
        <v>336000000</v>
      </c>
      <c r="E29" s="27">
        <f>SUM(E25:E28)</f>
        <v>336000000</v>
      </c>
      <c r="F29" s="27">
        <f>SUM(F25:F28)</f>
        <v>26640000</v>
      </c>
    </row>
  </sheetData>
  <mergeCells count="6">
    <mergeCell ref="F1:I1"/>
    <mergeCell ref="A29:B29"/>
    <mergeCell ref="A8:B8"/>
    <mergeCell ref="A22:B22"/>
    <mergeCell ref="A15:B15"/>
    <mergeCell ref="A1:E1"/>
  </mergeCells>
  <pageMargins left="0.7" right="0.7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1FA4-9A9A-4C0A-BA05-3CD8593ADAAC}">
  <sheetPr>
    <pageSetUpPr fitToPage="1"/>
  </sheetPr>
  <dimension ref="A1:T45"/>
  <sheetViews>
    <sheetView topLeftCell="A7" workbookViewId="0">
      <selection activeCell="N14" sqref="N14"/>
    </sheetView>
  </sheetViews>
  <sheetFormatPr defaultRowHeight="13.8" x14ac:dyDescent="0.25"/>
  <cols>
    <col min="1" max="3" width="5.5546875" style="9" customWidth="1"/>
    <col min="4" max="4" width="6.88671875" style="9" customWidth="1"/>
    <col min="5" max="6" width="5.5546875" style="9" customWidth="1"/>
    <col min="7" max="7" width="11.6640625" style="9" customWidth="1"/>
    <col min="8" max="9" width="5.5546875" style="9" customWidth="1"/>
    <col min="10" max="10" width="11.77734375" style="9" customWidth="1"/>
    <col min="11" max="12" width="5.5546875" style="9" customWidth="1"/>
    <col min="13" max="13" width="15.77734375" style="9" customWidth="1"/>
    <col min="14" max="14" width="19.5546875" style="9" customWidth="1"/>
    <col min="15" max="15" width="5.5546875" style="9" customWidth="1"/>
    <col min="16" max="16" width="20.21875" style="9" customWidth="1"/>
    <col min="17" max="17" width="6.109375" style="9" customWidth="1"/>
    <col min="18" max="18" width="5.5546875" style="9" customWidth="1"/>
    <col min="19" max="16384" width="8.88671875" style="9"/>
  </cols>
  <sheetData>
    <row r="1" spans="1:20" ht="19.2" customHeight="1" x14ac:dyDescent="0.25">
      <c r="A1" s="15" t="s">
        <v>37</v>
      </c>
      <c r="B1" s="8"/>
      <c r="C1" s="8"/>
      <c r="D1" s="8"/>
      <c r="E1" s="8"/>
      <c r="F1" s="8"/>
      <c r="G1" s="8"/>
      <c r="H1" s="58" t="s">
        <v>66</v>
      </c>
      <c r="I1" s="58"/>
      <c r="J1" s="58"/>
      <c r="K1" s="58" t="s">
        <v>41</v>
      </c>
      <c r="L1" s="58"/>
      <c r="M1" s="58"/>
      <c r="N1" s="58"/>
      <c r="O1" s="67" t="s">
        <v>38</v>
      </c>
      <c r="P1" s="67"/>
      <c r="Q1" s="67"/>
      <c r="R1" s="67"/>
    </row>
    <row r="2" spans="1:20" ht="23.4" customHeight="1" x14ac:dyDescent="0.25">
      <c r="A2" s="15" t="s">
        <v>39</v>
      </c>
      <c r="B2" s="8"/>
      <c r="C2" s="8"/>
      <c r="D2" s="8"/>
      <c r="E2" s="8"/>
      <c r="F2" s="8"/>
      <c r="G2" s="8"/>
      <c r="H2" s="59" t="s">
        <v>42</v>
      </c>
      <c r="I2" s="59"/>
      <c r="J2" s="59"/>
      <c r="K2" s="59"/>
      <c r="L2" s="59"/>
      <c r="M2" s="59"/>
      <c r="N2" s="59"/>
      <c r="O2" s="67" t="s">
        <v>40</v>
      </c>
      <c r="P2" s="67"/>
      <c r="Q2" s="67"/>
      <c r="R2" s="67"/>
    </row>
    <row r="3" spans="1:20" ht="15" customHeight="1" x14ac:dyDescent="0.25">
      <c r="A3" s="16"/>
      <c r="B3" s="16"/>
      <c r="C3" s="16"/>
      <c r="D3" s="16"/>
      <c r="E3" s="16"/>
      <c r="F3" s="16"/>
      <c r="G3" s="16"/>
      <c r="H3" s="16"/>
      <c r="I3" s="69" t="s">
        <v>43</v>
      </c>
      <c r="J3" s="69"/>
      <c r="K3" s="69"/>
      <c r="L3" s="69"/>
      <c r="M3" s="69"/>
      <c r="N3" s="69"/>
      <c r="O3" s="68" t="s">
        <v>7</v>
      </c>
      <c r="P3" s="68"/>
      <c r="Q3" s="68"/>
      <c r="R3" s="68"/>
    </row>
    <row r="4" spans="1:20" x14ac:dyDescent="0.25">
      <c r="A4" s="35" t="s">
        <v>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35" t="s">
        <v>9</v>
      </c>
      <c r="O4" s="35"/>
      <c r="P4" s="35"/>
      <c r="Q4" s="35"/>
      <c r="R4" s="35"/>
    </row>
    <row r="5" spans="1:20" ht="13.5" customHeight="1" x14ac:dyDescent="0.25">
      <c r="A5" s="75" t="s">
        <v>10</v>
      </c>
      <c r="B5" s="75"/>
      <c r="C5" s="75"/>
      <c r="D5" s="75"/>
      <c r="E5" s="75"/>
      <c r="F5" s="75"/>
      <c r="G5" s="10" t="s">
        <v>11</v>
      </c>
      <c r="H5" s="35" t="s">
        <v>12</v>
      </c>
      <c r="I5" s="72"/>
      <c r="J5" s="72"/>
      <c r="K5" s="76"/>
      <c r="L5" s="77"/>
      <c r="M5" s="77"/>
      <c r="N5" s="77"/>
      <c r="O5" s="77"/>
      <c r="P5" s="77"/>
      <c r="Q5" s="77"/>
      <c r="R5" s="78"/>
    </row>
    <row r="6" spans="1:20" ht="18.600000000000001" customHeight="1" x14ac:dyDescent="0.25">
      <c r="A6" s="75"/>
      <c r="B6" s="75"/>
      <c r="C6" s="75"/>
      <c r="D6" s="75"/>
      <c r="E6" s="75"/>
      <c r="F6" s="75"/>
      <c r="G6" s="10"/>
      <c r="H6" s="10"/>
      <c r="I6" s="11"/>
      <c r="J6" s="11"/>
      <c r="K6" s="12"/>
      <c r="L6" s="12"/>
      <c r="M6" s="12"/>
      <c r="N6" s="81" t="str">
        <f>ضمان!A1</f>
        <v>XYZ</v>
      </c>
      <c r="O6" s="82"/>
      <c r="P6" s="79" t="s">
        <v>57</v>
      </c>
      <c r="Q6" s="79"/>
      <c r="R6" s="80"/>
    </row>
    <row r="7" spans="1:20" ht="52.2" customHeight="1" x14ac:dyDescent="0.25">
      <c r="A7" s="75"/>
      <c r="B7" s="75"/>
      <c r="C7" s="75"/>
      <c r="D7" s="75"/>
      <c r="E7" s="75"/>
      <c r="F7" s="75"/>
      <c r="G7" s="36" t="s">
        <v>56</v>
      </c>
      <c r="H7" s="36"/>
      <c r="I7" s="11"/>
      <c r="J7" s="10"/>
      <c r="K7" s="74"/>
      <c r="L7" s="74"/>
      <c r="M7" s="74"/>
      <c r="N7" s="83" t="str">
        <f>ضمان!F1</f>
        <v>43-61-0000</v>
      </c>
      <c r="O7" s="84"/>
      <c r="P7" s="79" t="s">
        <v>58</v>
      </c>
      <c r="Q7" s="79"/>
      <c r="R7" s="80"/>
    </row>
    <row r="8" spans="1:20" ht="10.5" customHeight="1" x14ac:dyDescent="0.25">
      <c r="A8" s="36"/>
      <c r="B8" s="36"/>
      <c r="C8" s="36"/>
      <c r="D8" s="73" t="s">
        <v>13</v>
      </c>
      <c r="E8" s="73"/>
      <c r="F8" s="73"/>
      <c r="G8" s="73"/>
      <c r="H8" s="73"/>
      <c r="I8" s="73"/>
      <c r="J8" s="73"/>
      <c r="K8" s="35" t="s">
        <v>14</v>
      </c>
      <c r="L8" s="35"/>
      <c r="M8" s="35"/>
      <c r="N8" s="36" t="s">
        <v>68</v>
      </c>
      <c r="O8" s="36" t="s">
        <v>16</v>
      </c>
      <c r="P8" s="35" t="s">
        <v>17</v>
      </c>
      <c r="Q8" s="41" t="s">
        <v>18</v>
      </c>
      <c r="R8" s="35" t="s">
        <v>19</v>
      </c>
    </row>
    <row r="9" spans="1:20" ht="10.5" customHeight="1" x14ac:dyDescent="0.25">
      <c r="A9" s="10" t="s">
        <v>20</v>
      </c>
      <c r="B9" s="10" t="s">
        <v>21</v>
      </c>
      <c r="C9" s="13" t="s">
        <v>22</v>
      </c>
      <c r="D9" s="10" t="s">
        <v>23</v>
      </c>
      <c r="E9" s="14" t="s">
        <v>24</v>
      </c>
      <c r="F9" s="35" t="s">
        <v>25</v>
      </c>
      <c r="G9" s="35"/>
      <c r="H9" s="35" t="s">
        <v>26</v>
      </c>
      <c r="I9" s="35"/>
      <c r="J9" s="35"/>
      <c r="K9" s="73" t="s">
        <v>27</v>
      </c>
      <c r="L9" s="73"/>
      <c r="M9" s="10" t="s">
        <v>25</v>
      </c>
      <c r="N9" s="36"/>
      <c r="O9" s="36"/>
      <c r="P9" s="35"/>
      <c r="Q9" s="42"/>
      <c r="R9" s="35"/>
    </row>
    <row r="10" spans="1:20" ht="66.75" customHeight="1" x14ac:dyDescent="0.25">
      <c r="A10" s="36" t="s">
        <v>28</v>
      </c>
      <c r="B10" s="36"/>
      <c r="C10" s="36"/>
      <c r="D10" s="36" t="s">
        <v>29</v>
      </c>
      <c r="E10" s="36"/>
      <c r="F10" s="36"/>
      <c r="G10" s="36"/>
      <c r="H10" s="37" t="s">
        <v>30</v>
      </c>
      <c r="I10" s="38"/>
      <c r="J10" s="39"/>
      <c r="K10" s="40" t="s">
        <v>31</v>
      </c>
      <c r="L10" s="40"/>
      <c r="M10" s="40"/>
      <c r="N10" s="23">
        <f>P10*O10</f>
        <v>12320000</v>
      </c>
      <c r="O10" s="22">
        <v>0.11</v>
      </c>
      <c r="P10" s="21">
        <f>ضمان!D8</f>
        <v>112000000</v>
      </c>
      <c r="Q10" s="25">
        <v>4</v>
      </c>
      <c r="R10" s="20" t="s">
        <v>32</v>
      </c>
      <c r="T10" s="9" t="s">
        <v>33</v>
      </c>
    </row>
    <row r="11" spans="1:20" ht="63.75" customHeight="1" x14ac:dyDescent="0.25">
      <c r="A11" s="36" t="s">
        <v>34</v>
      </c>
      <c r="B11" s="36"/>
      <c r="C11" s="36"/>
      <c r="D11" s="36" t="s">
        <v>29</v>
      </c>
      <c r="E11" s="36"/>
      <c r="F11" s="36"/>
      <c r="G11" s="36"/>
      <c r="H11" s="37" t="s">
        <v>30</v>
      </c>
      <c r="I11" s="38"/>
      <c r="J11" s="39"/>
      <c r="K11" s="40" t="s">
        <v>31</v>
      </c>
      <c r="L11" s="40"/>
      <c r="M11" s="40"/>
      <c r="N11" s="23">
        <f>P11*O11</f>
        <v>9520000</v>
      </c>
      <c r="O11" s="24">
        <v>8.5000000000000006E-2</v>
      </c>
      <c r="P11" s="21">
        <f>ضمان!C8</f>
        <v>112000000</v>
      </c>
      <c r="Q11" s="25">
        <v>4</v>
      </c>
      <c r="R11" s="20" t="s">
        <v>35</v>
      </c>
    </row>
    <row r="12" spans="1:20" ht="69.75" customHeight="1" x14ac:dyDescent="0.25">
      <c r="A12" s="36" t="s">
        <v>55</v>
      </c>
      <c r="B12" s="36"/>
      <c r="C12" s="36"/>
      <c r="D12" s="71" t="s">
        <v>54</v>
      </c>
      <c r="E12" s="36"/>
      <c r="F12" s="36"/>
      <c r="G12" s="36"/>
      <c r="H12" s="72" t="s">
        <v>30</v>
      </c>
      <c r="I12" s="72"/>
      <c r="J12" s="72"/>
      <c r="K12" s="36" t="s">
        <v>31</v>
      </c>
      <c r="L12" s="36"/>
      <c r="M12" s="36"/>
      <c r="N12" s="23">
        <f>P12*O12</f>
        <v>4320000</v>
      </c>
      <c r="O12" s="22">
        <v>0.06</v>
      </c>
      <c r="P12" s="21">
        <f>ضمان!E8</f>
        <v>72000000</v>
      </c>
      <c r="Q12" s="25">
        <v>4</v>
      </c>
      <c r="R12" s="20" t="s">
        <v>36</v>
      </c>
    </row>
    <row r="13" spans="1:20" ht="21.75" customHeight="1" x14ac:dyDescent="0.25">
      <c r="A13" s="36"/>
      <c r="B13" s="36"/>
      <c r="C13" s="36"/>
      <c r="D13" s="36"/>
      <c r="E13" s="36"/>
      <c r="F13" s="36"/>
      <c r="G13" s="36"/>
      <c r="H13" s="72"/>
      <c r="I13" s="72"/>
      <c r="J13" s="72"/>
      <c r="K13" s="36"/>
      <c r="L13" s="36"/>
      <c r="M13" s="36"/>
      <c r="N13" s="23">
        <f>SUM(N10:N12)</f>
        <v>26160000</v>
      </c>
      <c r="O13" s="43" t="s">
        <v>59</v>
      </c>
      <c r="P13" s="44"/>
      <c r="Q13" s="44"/>
      <c r="R13" s="45"/>
    </row>
    <row r="14" spans="1:20" ht="22.5" customHeight="1" x14ac:dyDescent="0.25">
      <c r="A14" s="36"/>
      <c r="B14" s="36"/>
      <c r="C14" s="36"/>
      <c r="D14" s="36"/>
      <c r="E14" s="36"/>
      <c r="F14" s="36"/>
      <c r="G14" s="36"/>
      <c r="H14" s="72"/>
      <c r="I14" s="72"/>
      <c r="J14" s="72"/>
      <c r="K14" s="36"/>
      <c r="L14" s="36"/>
      <c r="M14" s="36"/>
      <c r="N14" s="23" t="e">
        <f>ضمان!#REF!</f>
        <v>#REF!</v>
      </c>
      <c r="O14" s="70" t="s">
        <v>60</v>
      </c>
      <c r="P14" s="44"/>
      <c r="Q14" s="44"/>
      <c r="R14" s="45"/>
    </row>
    <row r="15" spans="1:20" ht="24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12"/>
      <c r="L15" s="36"/>
      <c r="M15" s="36"/>
      <c r="N15" s="23" t="e">
        <f>N13-N14</f>
        <v>#REF!</v>
      </c>
      <c r="O15" s="70" t="s">
        <v>61</v>
      </c>
      <c r="P15" s="44"/>
      <c r="Q15" s="44"/>
      <c r="R15" s="45"/>
    </row>
    <row r="16" spans="1:20" ht="24" customHeight="1" x14ac:dyDescent="0.25">
      <c r="A16" s="66"/>
      <c r="B16" s="66"/>
      <c r="C16" s="66"/>
      <c r="D16" s="66"/>
      <c r="E16" s="66"/>
      <c r="F16" s="66"/>
      <c r="G16" s="64" t="s">
        <v>46</v>
      </c>
      <c r="H16" s="64"/>
      <c r="I16" s="64"/>
      <c r="J16" s="65"/>
      <c r="K16" s="63" t="s">
        <v>45</v>
      </c>
      <c r="L16" s="64"/>
      <c r="M16" s="64"/>
      <c r="N16" s="64" t="s">
        <v>44</v>
      </c>
      <c r="O16" s="64"/>
      <c r="P16" s="64"/>
      <c r="Q16" s="64"/>
      <c r="R16" s="65"/>
    </row>
    <row r="17" spans="1:18" x14ac:dyDescent="0.25">
      <c r="A17" s="61"/>
      <c r="B17" s="46"/>
      <c r="C17" s="46"/>
      <c r="D17" s="46"/>
      <c r="E17" s="46"/>
      <c r="F17" s="46"/>
      <c r="G17" s="47" t="s">
        <v>48</v>
      </c>
      <c r="H17" s="47"/>
      <c r="I17" s="47"/>
      <c r="J17" s="62"/>
      <c r="K17" s="54"/>
      <c r="L17" s="47"/>
      <c r="M17" s="47"/>
      <c r="N17" s="48" t="s">
        <v>47</v>
      </c>
      <c r="O17" s="48"/>
      <c r="P17" s="48"/>
      <c r="Q17" s="48"/>
      <c r="R17" s="60"/>
    </row>
    <row r="18" spans="1:18" x14ac:dyDescent="0.25">
      <c r="A18" s="61"/>
      <c r="B18" s="46"/>
      <c r="C18" s="46"/>
      <c r="D18" s="46"/>
      <c r="E18" s="46"/>
      <c r="F18" s="46"/>
      <c r="G18" s="47" t="s">
        <v>49</v>
      </c>
      <c r="H18" s="47"/>
      <c r="I18" s="47"/>
      <c r="J18" s="62"/>
      <c r="K18" s="54"/>
      <c r="L18" s="47"/>
      <c r="M18" s="47"/>
      <c r="N18" s="57">
        <f>DATE(2026,9,13)</f>
        <v>46278</v>
      </c>
      <c r="O18" s="47"/>
      <c r="P18" s="47" t="s">
        <v>62</v>
      </c>
      <c r="Q18" s="47"/>
      <c r="R18" s="62"/>
    </row>
    <row r="19" spans="1:18" x14ac:dyDescent="0.25">
      <c r="A19" s="50"/>
      <c r="B19" s="51"/>
      <c r="C19" s="51"/>
      <c r="D19" s="51"/>
      <c r="E19" s="51"/>
      <c r="F19" s="51"/>
      <c r="G19" s="52" t="s">
        <v>50</v>
      </c>
      <c r="H19" s="52"/>
      <c r="I19" s="52"/>
      <c r="J19" s="53"/>
      <c r="K19" s="54"/>
      <c r="L19" s="47"/>
      <c r="M19" s="47"/>
      <c r="N19" s="55" t="s">
        <v>51</v>
      </c>
      <c r="O19" s="55"/>
      <c r="P19" s="55"/>
      <c r="Q19" s="55"/>
      <c r="R19" s="56"/>
    </row>
    <row r="20" spans="1:18" x14ac:dyDescent="0.25">
      <c r="A20" s="19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18"/>
    </row>
    <row r="21" spans="1:18" x14ac:dyDescent="0.25">
      <c r="A21" s="49" t="s">
        <v>53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25">
      <c r="A22" s="46" t="s">
        <v>52</v>
      </c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8"/>
      <c r="O22" s="48"/>
      <c r="P22" s="48"/>
      <c r="Q22" s="48"/>
      <c r="R22" s="48"/>
    </row>
    <row r="24" spans="1:18" ht="18" customHeight="1" x14ac:dyDescent="0.25"/>
    <row r="25" spans="1:18" ht="17.399999999999999" customHeight="1" x14ac:dyDescent="0.25"/>
    <row r="26" spans="1:18" ht="18" customHeight="1" x14ac:dyDescent="0.25"/>
    <row r="27" spans="1:18" ht="18" customHeight="1" x14ac:dyDescent="0.25"/>
    <row r="28" spans="1:18" ht="13.8" customHeight="1" x14ac:dyDescent="0.25"/>
    <row r="30" spans="1:18" ht="18" customHeight="1" x14ac:dyDescent="0.25"/>
    <row r="31" spans="1:18" ht="18" customHeight="1" x14ac:dyDescent="0.25"/>
    <row r="32" spans="1:18" ht="13.8" customHeight="1" x14ac:dyDescent="0.25"/>
    <row r="33" ht="13.8" customHeight="1" x14ac:dyDescent="0.25"/>
    <row r="34" ht="13.8" customHeight="1" x14ac:dyDescent="0.25"/>
    <row r="35" ht="13.8" customHeight="1" x14ac:dyDescent="0.25"/>
    <row r="36" ht="13.8" customHeight="1" x14ac:dyDescent="0.25"/>
    <row r="37" ht="13.8" customHeight="1" x14ac:dyDescent="0.25"/>
    <row r="38" ht="13.8" customHeight="1" x14ac:dyDescent="0.25"/>
    <row r="39" ht="13.8" customHeight="1" x14ac:dyDescent="0.25"/>
    <row r="40" ht="13.8" customHeight="1" x14ac:dyDescent="0.25"/>
    <row r="45" ht="13.8" customHeight="1" x14ac:dyDescent="0.25"/>
  </sheetData>
  <mergeCells count="68">
    <mergeCell ref="N4:R4"/>
    <mergeCell ref="A5:F7"/>
    <mergeCell ref="H5:J5"/>
    <mergeCell ref="G7:H7"/>
    <mergeCell ref="K5:R5"/>
    <mergeCell ref="P6:R6"/>
    <mergeCell ref="P7:R7"/>
    <mergeCell ref="N6:O6"/>
    <mergeCell ref="N7:O7"/>
    <mergeCell ref="K7:M7"/>
    <mergeCell ref="A8:C8"/>
    <mergeCell ref="D8:J8"/>
    <mergeCell ref="K8:M8"/>
    <mergeCell ref="A4:M4"/>
    <mergeCell ref="O3:R3"/>
    <mergeCell ref="I3:N3"/>
    <mergeCell ref="O15:R15"/>
    <mergeCell ref="N16:R16"/>
    <mergeCell ref="A12:C15"/>
    <mergeCell ref="D12:G15"/>
    <mergeCell ref="H12:J14"/>
    <mergeCell ref="K12:M14"/>
    <mergeCell ref="H15:J15"/>
    <mergeCell ref="L15:M15"/>
    <mergeCell ref="O14:R14"/>
    <mergeCell ref="A10:C10"/>
    <mergeCell ref="D10:G10"/>
    <mergeCell ref="H10:J10"/>
    <mergeCell ref="K10:M10"/>
    <mergeCell ref="A11:C11"/>
    <mergeCell ref="K1:N1"/>
    <mergeCell ref="H1:J1"/>
    <mergeCell ref="H2:N2"/>
    <mergeCell ref="N17:R17"/>
    <mergeCell ref="A18:F18"/>
    <mergeCell ref="G18:J18"/>
    <mergeCell ref="K18:M18"/>
    <mergeCell ref="P18:R18"/>
    <mergeCell ref="K16:M16"/>
    <mergeCell ref="G16:J16"/>
    <mergeCell ref="A16:F16"/>
    <mergeCell ref="A17:F17"/>
    <mergeCell ref="G17:J17"/>
    <mergeCell ref="K17:M17"/>
    <mergeCell ref="O2:R2"/>
    <mergeCell ref="O1:R1"/>
    <mergeCell ref="O13:R13"/>
    <mergeCell ref="A22:F22"/>
    <mergeCell ref="G22:J22"/>
    <mergeCell ref="K22:M22"/>
    <mergeCell ref="N22:R22"/>
    <mergeCell ref="A21:R21"/>
    <mergeCell ref="A19:F19"/>
    <mergeCell ref="G19:J19"/>
    <mergeCell ref="K19:M19"/>
    <mergeCell ref="N19:R19"/>
    <mergeCell ref="N18:O18"/>
    <mergeCell ref="R8:R9"/>
    <mergeCell ref="N8:N9"/>
    <mergeCell ref="O8:O9"/>
    <mergeCell ref="D11:G11"/>
    <mergeCell ref="H11:J11"/>
    <mergeCell ref="K11:M11"/>
    <mergeCell ref="P8:P9"/>
    <mergeCell ref="Q8:Q9"/>
    <mergeCell ref="F9:G9"/>
    <mergeCell ref="H9:J9"/>
    <mergeCell ref="K9:L9"/>
  </mergeCells>
  <pageMargins left="0.7" right="0.7" top="0.75" bottom="0.75" header="0.3" footer="0.3"/>
  <pageSetup paperSize="9" scale="76" fitToHeight="0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B5E2-DB3E-4632-9EE8-FE5A4C4D0537}">
  <sheetPr>
    <pageSetUpPr fitToPage="1"/>
  </sheetPr>
  <dimension ref="A1:T45"/>
  <sheetViews>
    <sheetView topLeftCell="A4" workbookViewId="0">
      <selection activeCell="N15" sqref="N15"/>
    </sheetView>
  </sheetViews>
  <sheetFormatPr defaultRowHeight="13.8" x14ac:dyDescent="0.25"/>
  <cols>
    <col min="1" max="3" width="5.5546875" style="9" customWidth="1"/>
    <col min="4" max="4" width="6.88671875" style="9" customWidth="1"/>
    <col min="5" max="6" width="5.5546875" style="9" customWidth="1"/>
    <col min="7" max="7" width="11.6640625" style="9" customWidth="1"/>
    <col min="8" max="9" width="5.5546875" style="9" customWidth="1"/>
    <col min="10" max="10" width="11.77734375" style="9" customWidth="1"/>
    <col min="11" max="12" width="5.5546875" style="9" customWidth="1"/>
    <col min="13" max="13" width="15.77734375" style="9" customWidth="1"/>
    <col min="14" max="14" width="19.5546875" style="9" customWidth="1"/>
    <col min="15" max="15" width="5.5546875" style="9" customWidth="1"/>
    <col min="16" max="16" width="20.21875" style="9" customWidth="1"/>
    <col min="17" max="17" width="6.109375" style="9" customWidth="1"/>
    <col min="18" max="18" width="5.5546875" style="9" customWidth="1"/>
    <col min="19" max="16384" width="8.88671875" style="9"/>
  </cols>
  <sheetData>
    <row r="1" spans="1:20" ht="19.2" customHeight="1" x14ac:dyDescent="0.25">
      <c r="A1" s="15" t="s">
        <v>37</v>
      </c>
      <c r="B1" s="8"/>
      <c r="C1" s="8"/>
      <c r="D1" s="8"/>
      <c r="E1" s="8"/>
      <c r="F1" s="8"/>
      <c r="G1" s="8"/>
      <c r="H1" s="58" t="s">
        <v>65</v>
      </c>
      <c r="I1" s="58"/>
      <c r="J1" s="58"/>
      <c r="K1" s="58" t="s">
        <v>41</v>
      </c>
      <c r="L1" s="58"/>
      <c r="M1" s="58"/>
      <c r="N1" s="58"/>
      <c r="O1" s="67" t="s">
        <v>38</v>
      </c>
      <c r="P1" s="67"/>
      <c r="Q1" s="67"/>
      <c r="R1" s="67"/>
    </row>
    <row r="2" spans="1:20" ht="23.4" customHeight="1" x14ac:dyDescent="0.25">
      <c r="A2" s="15" t="s">
        <v>39</v>
      </c>
      <c r="B2" s="8"/>
      <c r="C2" s="8"/>
      <c r="D2" s="8"/>
      <c r="E2" s="8"/>
      <c r="F2" s="8"/>
      <c r="G2" s="8"/>
      <c r="H2" s="59" t="s">
        <v>42</v>
      </c>
      <c r="I2" s="59"/>
      <c r="J2" s="59"/>
      <c r="K2" s="59"/>
      <c r="L2" s="59"/>
      <c r="M2" s="59"/>
      <c r="N2" s="59"/>
      <c r="O2" s="67" t="s">
        <v>40</v>
      </c>
      <c r="P2" s="67"/>
      <c r="Q2" s="67"/>
      <c r="R2" s="67"/>
    </row>
    <row r="3" spans="1:20" ht="15" customHeight="1" x14ac:dyDescent="0.25">
      <c r="A3" s="16"/>
      <c r="B3" s="16"/>
      <c r="C3" s="16"/>
      <c r="D3" s="16"/>
      <c r="E3" s="16"/>
      <c r="F3" s="16"/>
      <c r="G3" s="16"/>
      <c r="H3" s="16"/>
      <c r="I3" s="69" t="s">
        <v>43</v>
      </c>
      <c r="J3" s="69"/>
      <c r="K3" s="69"/>
      <c r="L3" s="69"/>
      <c r="M3" s="69"/>
      <c r="N3" s="69"/>
      <c r="O3" s="68" t="s">
        <v>7</v>
      </c>
      <c r="P3" s="68"/>
      <c r="Q3" s="68"/>
      <c r="R3" s="68"/>
    </row>
    <row r="4" spans="1:20" x14ac:dyDescent="0.25">
      <c r="A4" s="35" t="s">
        <v>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35" t="s">
        <v>9</v>
      </c>
      <c r="O4" s="35"/>
      <c r="P4" s="35"/>
      <c r="Q4" s="35"/>
      <c r="R4" s="35"/>
    </row>
    <row r="5" spans="1:20" ht="13.5" customHeight="1" x14ac:dyDescent="0.25">
      <c r="A5" s="75" t="s">
        <v>10</v>
      </c>
      <c r="B5" s="75"/>
      <c r="C5" s="75"/>
      <c r="D5" s="75"/>
      <c r="E5" s="75"/>
      <c r="F5" s="75"/>
      <c r="G5" s="10" t="s">
        <v>11</v>
      </c>
      <c r="H5" s="35" t="s">
        <v>12</v>
      </c>
      <c r="I5" s="72"/>
      <c r="J5" s="72"/>
      <c r="K5" s="76"/>
      <c r="L5" s="77"/>
      <c r="M5" s="77"/>
      <c r="N5" s="77"/>
      <c r="O5" s="77"/>
      <c r="P5" s="77"/>
      <c r="Q5" s="77"/>
      <c r="R5" s="78"/>
    </row>
    <row r="6" spans="1:20" ht="18.600000000000001" customHeight="1" x14ac:dyDescent="0.25">
      <c r="A6" s="75"/>
      <c r="B6" s="75"/>
      <c r="C6" s="75"/>
      <c r="D6" s="75"/>
      <c r="E6" s="75"/>
      <c r="F6" s="75"/>
      <c r="G6" s="10"/>
      <c r="H6" s="10"/>
      <c r="I6" s="11"/>
      <c r="J6" s="11"/>
      <c r="K6" s="12"/>
      <c r="L6" s="12"/>
      <c r="M6" s="12"/>
      <c r="N6" s="81" t="str">
        <f>ضمان!A1</f>
        <v>XYZ</v>
      </c>
      <c r="O6" s="82"/>
      <c r="P6" s="79" t="s">
        <v>57</v>
      </c>
      <c r="Q6" s="79"/>
      <c r="R6" s="80"/>
    </row>
    <row r="7" spans="1:20" ht="52.2" customHeight="1" x14ac:dyDescent="0.25">
      <c r="A7" s="75"/>
      <c r="B7" s="75"/>
      <c r="C7" s="75"/>
      <c r="D7" s="75"/>
      <c r="E7" s="75"/>
      <c r="F7" s="75"/>
      <c r="G7" s="36" t="s">
        <v>56</v>
      </c>
      <c r="H7" s="36"/>
      <c r="I7" s="11"/>
      <c r="J7" s="10"/>
      <c r="K7" s="74"/>
      <c r="L7" s="74"/>
      <c r="M7" s="74"/>
      <c r="N7" s="83" t="str">
        <f>ضمان!F1</f>
        <v>43-61-0000</v>
      </c>
      <c r="O7" s="84"/>
      <c r="P7" s="79" t="s">
        <v>58</v>
      </c>
      <c r="Q7" s="79"/>
      <c r="R7" s="80"/>
    </row>
    <row r="8" spans="1:20" ht="10.5" customHeight="1" x14ac:dyDescent="0.25">
      <c r="A8" s="36"/>
      <c r="B8" s="36"/>
      <c r="C8" s="36"/>
      <c r="D8" s="73" t="s">
        <v>13</v>
      </c>
      <c r="E8" s="73"/>
      <c r="F8" s="73"/>
      <c r="G8" s="73"/>
      <c r="H8" s="73"/>
      <c r="I8" s="73"/>
      <c r="J8" s="73"/>
      <c r="K8" s="35" t="s">
        <v>14</v>
      </c>
      <c r="L8" s="35"/>
      <c r="M8" s="35"/>
      <c r="N8" s="36" t="s">
        <v>15</v>
      </c>
      <c r="O8" s="36" t="s">
        <v>16</v>
      </c>
      <c r="P8" s="35" t="s">
        <v>17</v>
      </c>
      <c r="Q8" s="41" t="s">
        <v>18</v>
      </c>
      <c r="R8" s="35" t="s">
        <v>19</v>
      </c>
    </row>
    <row r="9" spans="1:20" ht="10.5" customHeight="1" x14ac:dyDescent="0.25">
      <c r="A9" s="10" t="s">
        <v>20</v>
      </c>
      <c r="B9" s="10" t="s">
        <v>21</v>
      </c>
      <c r="C9" s="13" t="s">
        <v>22</v>
      </c>
      <c r="D9" s="10" t="s">
        <v>23</v>
      </c>
      <c r="E9" s="14" t="s">
        <v>24</v>
      </c>
      <c r="F9" s="35" t="s">
        <v>25</v>
      </c>
      <c r="G9" s="35"/>
      <c r="H9" s="35" t="s">
        <v>26</v>
      </c>
      <c r="I9" s="35"/>
      <c r="J9" s="35"/>
      <c r="K9" s="73" t="s">
        <v>27</v>
      </c>
      <c r="L9" s="73"/>
      <c r="M9" s="10" t="s">
        <v>25</v>
      </c>
      <c r="N9" s="36"/>
      <c r="O9" s="36"/>
      <c r="P9" s="35"/>
      <c r="Q9" s="42"/>
      <c r="R9" s="35"/>
    </row>
    <row r="10" spans="1:20" ht="66.75" customHeight="1" x14ac:dyDescent="0.25">
      <c r="A10" s="36" t="s">
        <v>28</v>
      </c>
      <c r="B10" s="36"/>
      <c r="C10" s="36"/>
      <c r="D10" s="36" t="s">
        <v>29</v>
      </c>
      <c r="E10" s="36"/>
      <c r="F10" s="36"/>
      <c r="G10" s="36"/>
      <c r="H10" s="37" t="s">
        <v>30</v>
      </c>
      <c r="I10" s="38"/>
      <c r="J10" s="39"/>
      <c r="K10" s="40" t="s">
        <v>31</v>
      </c>
      <c r="L10" s="40"/>
      <c r="M10" s="40"/>
      <c r="N10" s="23">
        <f>P10*O10</f>
        <v>36960000</v>
      </c>
      <c r="O10" s="22">
        <v>0.11</v>
      </c>
      <c r="P10" s="21">
        <f>ضمان!D15</f>
        <v>336000000</v>
      </c>
      <c r="Q10" s="25">
        <v>4</v>
      </c>
      <c r="R10" s="20" t="s">
        <v>32</v>
      </c>
      <c r="T10" s="9" t="s">
        <v>33</v>
      </c>
    </row>
    <row r="11" spans="1:20" ht="63.75" customHeight="1" x14ac:dyDescent="0.25">
      <c r="A11" s="36" t="s">
        <v>34</v>
      </c>
      <c r="B11" s="36"/>
      <c r="C11" s="36"/>
      <c r="D11" s="36" t="s">
        <v>29</v>
      </c>
      <c r="E11" s="36"/>
      <c r="F11" s="36"/>
      <c r="G11" s="36"/>
      <c r="H11" s="37" t="s">
        <v>30</v>
      </c>
      <c r="I11" s="38"/>
      <c r="J11" s="39"/>
      <c r="K11" s="40" t="s">
        <v>31</v>
      </c>
      <c r="L11" s="40"/>
      <c r="M11" s="40"/>
      <c r="N11" s="23">
        <f>P11*O11</f>
        <v>28560000.000000004</v>
      </c>
      <c r="O11" s="24">
        <v>8.5000000000000006E-2</v>
      </c>
      <c r="P11" s="21">
        <f>ضمان!C15</f>
        <v>336000000</v>
      </c>
      <c r="Q11" s="25">
        <v>4</v>
      </c>
      <c r="R11" s="20" t="s">
        <v>35</v>
      </c>
    </row>
    <row r="12" spans="1:20" ht="69.75" customHeight="1" x14ac:dyDescent="0.25">
      <c r="A12" s="36" t="s">
        <v>55</v>
      </c>
      <c r="B12" s="36"/>
      <c r="C12" s="36"/>
      <c r="D12" s="71" t="s">
        <v>54</v>
      </c>
      <c r="E12" s="36"/>
      <c r="F12" s="36"/>
      <c r="G12" s="36"/>
      <c r="H12" s="72" t="s">
        <v>30</v>
      </c>
      <c r="I12" s="72"/>
      <c r="J12" s="72"/>
      <c r="K12" s="36" t="s">
        <v>31</v>
      </c>
      <c r="L12" s="36"/>
      <c r="M12" s="36"/>
      <c r="N12" s="23">
        <f>P12*O12</f>
        <v>17760000</v>
      </c>
      <c r="O12" s="22">
        <v>0.06</v>
      </c>
      <c r="P12" s="21">
        <f>ضمان!E15</f>
        <v>296000000</v>
      </c>
      <c r="Q12" s="25">
        <v>4</v>
      </c>
      <c r="R12" s="20" t="s">
        <v>36</v>
      </c>
    </row>
    <row r="13" spans="1:20" ht="21.75" customHeight="1" x14ac:dyDescent="0.25">
      <c r="A13" s="36"/>
      <c r="B13" s="36"/>
      <c r="C13" s="36"/>
      <c r="D13" s="36"/>
      <c r="E13" s="36"/>
      <c r="F13" s="36"/>
      <c r="G13" s="36"/>
      <c r="H13" s="72"/>
      <c r="I13" s="72"/>
      <c r="J13" s="72"/>
      <c r="K13" s="36"/>
      <c r="L13" s="36"/>
      <c r="M13" s="36"/>
      <c r="N13" s="23">
        <f>SUM(N10:N12)</f>
        <v>83280000</v>
      </c>
      <c r="O13" s="43" t="s">
        <v>59</v>
      </c>
      <c r="P13" s="44"/>
      <c r="Q13" s="44"/>
      <c r="R13" s="45"/>
    </row>
    <row r="14" spans="1:20" ht="22.5" customHeight="1" x14ac:dyDescent="0.25">
      <c r="A14" s="36"/>
      <c r="B14" s="36"/>
      <c r="C14" s="36"/>
      <c r="D14" s="36"/>
      <c r="E14" s="36"/>
      <c r="F14" s="36"/>
      <c r="G14" s="36"/>
      <c r="H14" s="72"/>
      <c r="I14" s="72"/>
      <c r="J14" s="72"/>
      <c r="K14" s="36"/>
      <c r="L14" s="36"/>
      <c r="M14" s="36"/>
      <c r="N14" s="23" t="e">
        <f>ضمان!#REF!</f>
        <v>#REF!</v>
      </c>
      <c r="O14" s="70" t="s">
        <v>60</v>
      </c>
      <c r="P14" s="44"/>
      <c r="Q14" s="44"/>
      <c r="R14" s="45"/>
    </row>
    <row r="15" spans="1:20" ht="24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12"/>
      <c r="L15" s="36"/>
      <c r="M15" s="36"/>
      <c r="N15" s="23" t="e">
        <f>N13-N14</f>
        <v>#REF!</v>
      </c>
      <c r="O15" s="70" t="s">
        <v>61</v>
      </c>
      <c r="P15" s="44"/>
      <c r="Q15" s="44"/>
      <c r="R15" s="45"/>
    </row>
    <row r="16" spans="1:20" ht="24" customHeight="1" x14ac:dyDescent="0.25">
      <c r="A16" s="66"/>
      <c r="B16" s="66"/>
      <c r="C16" s="66"/>
      <c r="D16" s="66"/>
      <c r="E16" s="66"/>
      <c r="F16" s="66"/>
      <c r="G16" s="64" t="s">
        <v>46</v>
      </c>
      <c r="H16" s="64"/>
      <c r="I16" s="64"/>
      <c r="J16" s="65"/>
      <c r="K16" s="63" t="s">
        <v>45</v>
      </c>
      <c r="L16" s="64"/>
      <c r="M16" s="64"/>
      <c r="N16" s="64" t="s">
        <v>44</v>
      </c>
      <c r="O16" s="64"/>
      <c r="P16" s="64"/>
      <c r="Q16" s="64"/>
      <c r="R16" s="65"/>
    </row>
    <row r="17" spans="1:18" x14ac:dyDescent="0.25">
      <c r="A17" s="61"/>
      <c r="B17" s="46"/>
      <c r="C17" s="46"/>
      <c r="D17" s="46"/>
      <c r="E17" s="46"/>
      <c r="F17" s="46"/>
      <c r="G17" s="47" t="s">
        <v>48</v>
      </c>
      <c r="H17" s="47"/>
      <c r="I17" s="47"/>
      <c r="J17" s="62"/>
      <c r="K17" s="54"/>
      <c r="L17" s="47"/>
      <c r="M17" s="47"/>
      <c r="N17" s="48" t="s">
        <v>47</v>
      </c>
      <c r="O17" s="48"/>
      <c r="P17" s="48"/>
      <c r="Q17" s="48"/>
      <c r="R17" s="60"/>
    </row>
    <row r="18" spans="1:18" x14ac:dyDescent="0.25">
      <c r="A18" s="61"/>
      <c r="B18" s="46"/>
      <c r="C18" s="46"/>
      <c r="D18" s="46"/>
      <c r="E18" s="46"/>
      <c r="F18" s="46"/>
      <c r="G18" s="47" t="s">
        <v>49</v>
      </c>
      <c r="H18" s="47"/>
      <c r="I18" s="47"/>
      <c r="J18" s="62"/>
      <c r="K18" s="54"/>
      <c r="L18" s="47"/>
      <c r="M18" s="47"/>
      <c r="N18" s="57">
        <f>DATE(2026,9,13)</f>
        <v>46278</v>
      </c>
      <c r="O18" s="47"/>
      <c r="P18" s="47" t="s">
        <v>62</v>
      </c>
      <c r="Q18" s="47"/>
      <c r="R18" s="62"/>
    </row>
    <row r="19" spans="1:18" x14ac:dyDescent="0.25">
      <c r="A19" s="50"/>
      <c r="B19" s="51"/>
      <c r="C19" s="51"/>
      <c r="D19" s="51"/>
      <c r="E19" s="51"/>
      <c r="F19" s="51"/>
      <c r="G19" s="52" t="s">
        <v>50</v>
      </c>
      <c r="H19" s="52"/>
      <c r="I19" s="52"/>
      <c r="J19" s="53"/>
      <c r="K19" s="54"/>
      <c r="L19" s="47"/>
      <c r="M19" s="47"/>
      <c r="N19" s="55" t="s">
        <v>51</v>
      </c>
      <c r="O19" s="55"/>
      <c r="P19" s="55"/>
      <c r="Q19" s="55"/>
      <c r="R19" s="56"/>
    </row>
    <row r="20" spans="1:18" x14ac:dyDescent="0.25">
      <c r="A20" s="19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18"/>
    </row>
    <row r="21" spans="1:18" x14ac:dyDescent="0.25">
      <c r="A21" s="49" t="s">
        <v>53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25">
      <c r="A22" s="46" t="s">
        <v>52</v>
      </c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8"/>
      <c r="O22" s="48"/>
      <c r="P22" s="48"/>
      <c r="Q22" s="48"/>
      <c r="R22" s="48"/>
    </row>
    <row r="24" spans="1:18" ht="18" customHeight="1" x14ac:dyDescent="0.25"/>
    <row r="25" spans="1:18" ht="17.399999999999999" customHeight="1" x14ac:dyDescent="0.25"/>
    <row r="26" spans="1:18" ht="18" customHeight="1" x14ac:dyDescent="0.25"/>
    <row r="27" spans="1:18" ht="18" customHeight="1" x14ac:dyDescent="0.25"/>
    <row r="28" spans="1:18" ht="13.8" customHeight="1" x14ac:dyDescent="0.25"/>
    <row r="30" spans="1:18" ht="18" customHeight="1" x14ac:dyDescent="0.25"/>
    <row r="31" spans="1:18" ht="18" customHeight="1" x14ac:dyDescent="0.25"/>
    <row r="32" spans="1:18" ht="13.8" customHeight="1" x14ac:dyDescent="0.25"/>
    <row r="33" ht="13.8" customHeight="1" x14ac:dyDescent="0.25"/>
    <row r="34" ht="13.8" customHeight="1" x14ac:dyDescent="0.25"/>
    <row r="35" ht="13.8" customHeight="1" x14ac:dyDescent="0.25"/>
    <row r="36" ht="13.8" customHeight="1" x14ac:dyDescent="0.25"/>
    <row r="37" ht="13.8" customHeight="1" x14ac:dyDescent="0.25"/>
    <row r="38" ht="13.8" customHeight="1" x14ac:dyDescent="0.25"/>
    <row r="39" ht="13.8" customHeight="1" x14ac:dyDescent="0.25"/>
    <row r="40" ht="13.8" customHeight="1" x14ac:dyDescent="0.25"/>
    <row r="45" ht="13.8" customHeight="1" x14ac:dyDescent="0.25"/>
  </sheetData>
  <mergeCells count="68">
    <mergeCell ref="I3:N3"/>
    <mergeCell ref="O3:R3"/>
    <mergeCell ref="H1:J1"/>
    <mergeCell ref="K1:N1"/>
    <mergeCell ref="O1:R1"/>
    <mergeCell ref="H2:N2"/>
    <mergeCell ref="O2:R2"/>
    <mergeCell ref="A4:M4"/>
    <mergeCell ref="N4:R4"/>
    <mergeCell ref="A5:F7"/>
    <mergeCell ref="H5:J5"/>
    <mergeCell ref="K5:R5"/>
    <mergeCell ref="N6:O6"/>
    <mergeCell ref="P6:R6"/>
    <mergeCell ref="G7:H7"/>
    <mergeCell ref="K7:M7"/>
    <mergeCell ref="N7:O7"/>
    <mergeCell ref="P7:R7"/>
    <mergeCell ref="A8:C8"/>
    <mergeCell ref="D8:J8"/>
    <mergeCell ref="K8:M8"/>
    <mergeCell ref="N8:N9"/>
    <mergeCell ref="O8:O9"/>
    <mergeCell ref="P8:P9"/>
    <mergeCell ref="Q8:Q9"/>
    <mergeCell ref="R8:R9"/>
    <mergeCell ref="F9:G9"/>
    <mergeCell ref="H9:J9"/>
    <mergeCell ref="K9:L9"/>
    <mergeCell ref="A10:C10"/>
    <mergeCell ref="D10:G10"/>
    <mergeCell ref="H10:J10"/>
    <mergeCell ref="K10:M10"/>
    <mergeCell ref="A16:F16"/>
    <mergeCell ref="G16:J16"/>
    <mergeCell ref="K16:M16"/>
    <mergeCell ref="N16:R16"/>
    <mergeCell ref="A11:C11"/>
    <mergeCell ref="D11:G11"/>
    <mergeCell ref="H11:J11"/>
    <mergeCell ref="K11:M11"/>
    <mergeCell ref="A12:C15"/>
    <mergeCell ref="D12:G15"/>
    <mergeCell ref="H12:J14"/>
    <mergeCell ref="K12:M14"/>
    <mergeCell ref="O13:R13"/>
    <mergeCell ref="O14:R14"/>
    <mergeCell ref="H15:J15"/>
    <mergeCell ref="L15:M15"/>
    <mergeCell ref="O15:R15"/>
    <mergeCell ref="A17:F17"/>
    <mergeCell ref="G17:J17"/>
    <mergeCell ref="K17:M17"/>
    <mergeCell ref="N17:R17"/>
    <mergeCell ref="A18:F18"/>
    <mergeCell ref="G18:J18"/>
    <mergeCell ref="K18:M18"/>
    <mergeCell ref="N18:O18"/>
    <mergeCell ref="P18:R18"/>
    <mergeCell ref="N19:R19"/>
    <mergeCell ref="A21:R21"/>
    <mergeCell ref="A22:F22"/>
    <mergeCell ref="G22:J22"/>
    <mergeCell ref="K22:M22"/>
    <mergeCell ref="N22:R22"/>
    <mergeCell ref="A19:F19"/>
    <mergeCell ref="G19:J19"/>
    <mergeCell ref="K19:M19"/>
  </mergeCells>
  <pageMargins left="0.7" right="0.7" top="0.75" bottom="0.75" header="0.3" footer="0.3"/>
  <pageSetup paperSize="9" scale="76" fitToHeight="0" orientation="landscape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86F4-181F-456D-8076-13D7F6AB3749}">
  <sheetPr>
    <pageSetUpPr fitToPage="1"/>
  </sheetPr>
  <dimension ref="A1:T45"/>
  <sheetViews>
    <sheetView topLeftCell="A7" workbookViewId="0">
      <selection activeCell="N15" sqref="N15"/>
    </sheetView>
  </sheetViews>
  <sheetFormatPr defaultRowHeight="13.8" x14ac:dyDescent="0.25"/>
  <cols>
    <col min="1" max="3" width="5.5546875" style="9" customWidth="1"/>
    <col min="4" max="4" width="6.88671875" style="9" customWidth="1"/>
    <col min="5" max="6" width="5.5546875" style="9" customWidth="1"/>
    <col min="7" max="7" width="11.6640625" style="9" customWidth="1"/>
    <col min="8" max="9" width="5.5546875" style="9" customWidth="1"/>
    <col min="10" max="10" width="11.77734375" style="9" customWidth="1"/>
    <col min="11" max="12" width="5.5546875" style="9" customWidth="1"/>
    <col min="13" max="13" width="15.77734375" style="9" customWidth="1"/>
    <col min="14" max="14" width="19.5546875" style="9" customWidth="1"/>
    <col min="15" max="15" width="5.5546875" style="9" customWidth="1"/>
    <col min="16" max="16" width="20.21875" style="9" customWidth="1"/>
    <col min="17" max="17" width="6.109375" style="9" customWidth="1"/>
    <col min="18" max="18" width="5.5546875" style="9" customWidth="1"/>
    <col min="19" max="16384" width="8.88671875" style="9"/>
  </cols>
  <sheetData>
    <row r="1" spans="1:20" ht="19.2" customHeight="1" x14ac:dyDescent="0.25">
      <c r="A1" s="15" t="s">
        <v>37</v>
      </c>
      <c r="B1" s="8"/>
      <c r="C1" s="8"/>
      <c r="D1" s="8"/>
      <c r="E1" s="8"/>
      <c r="F1" s="8"/>
      <c r="G1" s="8"/>
      <c r="H1" s="58" t="s">
        <v>64</v>
      </c>
      <c r="I1" s="58"/>
      <c r="J1" s="58"/>
      <c r="K1" s="58" t="s">
        <v>41</v>
      </c>
      <c r="L1" s="58"/>
      <c r="M1" s="58"/>
      <c r="N1" s="58"/>
      <c r="O1" s="67" t="s">
        <v>38</v>
      </c>
      <c r="P1" s="67"/>
      <c r="Q1" s="67"/>
      <c r="R1" s="67"/>
    </row>
    <row r="2" spans="1:20" ht="23.4" customHeight="1" x14ac:dyDescent="0.25">
      <c r="A2" s="15" t="s">
        <v>39</v>
      </c>
      <c r="B2" s="8"/>
      <c r="C2" s="8"/>
      <c r="D2" s="8"/>
      <c r="E2" s="8"/>
      <c r="F2" s="8"/>
      <c r="G2" s="8"/>
      <c r="H2" s="59" t="s">
        <v>42</v>
      </c>
      <c r="I2" s="59"/>
      <c r="J2" s="59"/>
      <c r="K2" s="59"/>
      <c r="L2" s="59"/>
      <c r="M2" s="59"/>
      <c r="N2" s="59"/>
      <c r="O2" s="67" t="s">
        <v>40</v>
      </c>
      <c r="P2" s="67"/>
      <c r="Q2" s="67"/>
      <c r="R2" s="67"/>
    </row>
    <row r="3" spans="1:20" ht="15" customHeight="1" x14ac:dyDescent="0.25">
      <c r="A3" s="16"/>
      <c r="B3" s="16"/>
      <c r="C3" s="16"/>
      <c r="D3" s="16"/>
      <c r="E3" s="16"/>
      <c r="F3" s="16"/>
      <c r="G3" s="16"/>
      <c r="H3" s="16"/>
      <c r="I3" s="69" t="s">
        <v>43</v>
      </c>
      <c r="J3" s="69"/>
      <c r="K3" s="69"/>
      <c r="L3" s="69"/>
      <c r="M3" s="69"/>
      <c r="N3" s="69"/>
      <c r="O3" s="68" t="s">
        <v>7</v>
      </c>
      <c r="P3" s="68"/>
      <c r="Q3" s="68"/>
      <c r="R3" s="68"/>
    </row>
    <row r="4" spans="1:20" x14ac:dyDescent="0.25">
      <c r="A4" s="35" t="s">
        <v>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35" t="s">
        <v>9</v>
      </c>
      <c r="O4" s="35"/>
      <c r="P4" s="35"/>
      <c r="Q4" s="35"/>
      <c r="R4" s="35"/>
    </row>
    <row r="5" spans="1:20" ht="13.5" customHeight="1" x14ac:dyDescent="0.25">
      <c r="A5" s="75" t="s">
        <v>10</v>
      </c>
      <c r="B5" s="75"/>
      <c r="C5" s="75"/>
      <c r="D5" s="75"/>
      <c r="E5" s="75"/>
      <c r="F5" s="75"/>
      <c r="G5" s="10" t="s">
        <v>11</v>
      </c>
      <c r="H5" s="35" t="s">
        <v>12</v>
      </c>
      <c r="I5" s="72"/>
      <c r="J5" s="72"/>
      <c r="K5" s="76"/>
      <c r="L5" s="77"/>
      <c r="M5" s="77"/>
      <c r="N5" s="77"/>
      <c r="O5" s="77"/>
      <c r="P5" s="77"/>
      <c r="Q5" s="77"/>
      <c r="R5" s="78"/>
    </row>
    <row r="6" spans="1:20" ht="18.600000000000001" customHeight="1" x14ac:dyDescent="0.25">
      <c r="A6" s="75"/>
      <c r="B6" s="75"/>
      <c r="C6" s="75"/>
      <c r="D6" s="75"/>
      <c r="E6" s="75"/>
      <c r="F6" s="75"/>
      <c r="G6" s="10"/>
      <c r="H6" s="10"/>
      <c r="I6" s="11"/>
      <c r="J6" s="11"/>
      <c r="K6" s="12"/>
      <c r="L6" s="12"/>
      <c r="M6" s="12"/>
      <c r="N6" s="81" t="str">
        <f>ضمان!A1</f>
        <v>XYZ</v>
      </c>
      <c r="O6" s="82"/>
      <c r="P6" s="79" t="s">
        <v>57</v>
      </c>
      <c r="Q6" s="79"/>
      <c r="R6" s="80"/>
    </row>
    <row r="7" spans="1:20" ht="52.2" customHeight="1" x14ac:dyDescent="0.25">
      <c r="A7" s="75"/>
      <c r="B7" s="75"/>
      <c r="C7" s="75"/>
      <c r="D7" s="75"/>
      <c r="E7" s="75"/>
      <c r="F7" s="75"/>
      <c r="G7" s="36" t="s">
        <v>56</v>
      </c>
      <c r="H7" s="36"/>
      <c r="I7" s="11"/>
      <c r="J7" s="10"/>
      <c r="K7" s="74"/>
      <c r="L7" s="74"/>
      <c r="M7" s="74"/>
      <c r="N7" s="83" t="str">
        <f>ضمان!F1</f>
        <v>43-61-0000</v>
      </c>
      <c r="O7" s="84"/>
      <c r="P7" s="79" t="s">
        <v>58</v>
      </c>
      <c r="Q7" s="79"/>
      <c r="R7" s="80"/>
    </row>
    <row r="8" spans="1:20" ht="10.5" customHeight="1" x14ac:dyDescent="0.25">
      <c r="A8" s="36"/>
      <c r="B8" s="36"/>
      <c r="C8" s="36"/>
      <c r="D8" s="73" t="s">
        <v>13</v>
      </c>
      <c r="E8" s="73"/>
      <c r="F8" s="73"/>
      <c r="G8" s="73"/>
      <c r="H8" s="73"/>
      <c r="I8" s="73"/>
      <c r="J8" s="73"/>
      <c r="K8" s="35" t="s">
        <v>14</v>
      </c>
      <c r="L8" s="35"/>
      <c r="M8" s="35"/>
      <c r="N8" s="36" t="s">
        <v>15</v>
      </c>
      <c r="O8" s="36" t="s">
        <v>16</v>
      </c>
      <c r="P8" s="35" t="s">
        <v>17</v>
      </c>
      <c r="Q8" s="41" t="s">
        <v>18</v>
      </c>
      <c r="R8" s="35" t="s">
        <v>19</v>
      </c>
    </row>
    <row r="9" spans="1:20" ht="10.5" customHeight="1" x14ac:dyDescent="0.25">
      <c r="A9" s="10" t="s">
        <v>20</v>
      </c>
      <c r="B9" s="10" t="s">
        <v>21</v>
      </c>
      <c r="C9" s="13" t="s">
        <v>22</v>
      </c>
      <c r="D9" s="10" t="s">
        <v>23</v>
      </c>
      <c r="E9" s="14" t="s">
        <v>24</v>
      </c>
      <c r="F9" s="35" t="s">
        <v>25</v>
      </c>
      <c r="G9" s="35"/>
      <c r="H9" s="35" t="s">
        <v>26</v>
      </c>
      <c r="I9" s="35"/>
      <c r="J9" s="35"/>
      <c r="K9" s="73" t="s">
        <v>27</v>
      </c>
      <c r="L9" s="73"/>
      <c r="M9" s="10" t="s">
        <v>25</v>
      </c>
      <c r="N9" s="36"/>
      <c r="O9" s="36"/>
      <c r="P9" s="35"/>
      <c r="Q9" s="42"/>
      <c r="R9" s="35"/>
    </row>
    <row r="10" spans="1:20" ht="66.75" customHeight="1" x14ac:dyDescent="0.25">
      <c r="A10" s="36" t="s">
        <v>28</v>
      </c>
      <c r="B10" s="36"/>
      <c r="C10" s="36"/>
      <c r="D10" s="36" t="s">
        <v>29</v>
      </c>
      <c r="E10" s="36"/>
      <c r="F10" s="36"/>
      <c r="G10" s="36"/>
      <c r="H10" s="37" t="s">
        <v>30</v>
      </c>
      <c r="I10" s="38"/>
      <c r="J10" s="39"/>
      <c r="K10" s="40" t="s">
        <v>31</v>
      </c>
      <c r="L10" s="40"/>
      <c r="M10" s="40"/>
      <c r="N10" s="23">
        <f>P10*O10</f>
        <v>32560000</v>
      </c>
      <c r="O10" s="22">
        <v>0.11</v>
      </c>
      <c r="P10" s="21">
        <f>ضمان!D22</f>
        <v>296000000</v>
      </c>
      <c r="Q10" s="25">
        <v>4</v>
      </c>
      <c r="R10" s="20" t="s">
        <v>32</v>
      </c>
      <c r="T10" s="9" t="s">
        <v>33</v>
      </c>
    </row>
    <row r="11" spans="1:20" ht="63.75" customHeight="1" x14ac:dyDescent="0.25">
      <c r="A11" s="36" t="s">
        <v>34</v>
      </c>
      <c r="B11" s="36"/>
      <c r="C11" s="36"/>
      <c r="D11" s="36" t="s">
        <v>29</v>
      </c>
      <c r="E11" s="36"/>
      <c r="F11" s="36"/>
      <c r="G11" s="36"/>
      <c r="H11" s="37" t="s">
        <v>30</v>
      </c>
      <c r="I11" s="38"/>
      <c r="J11" s="39"/>
      <c r="K11" s="40" t="s">
        <v>31</v>
      </c>
      <c r="L11" s="40"/>
      <c r="M11" s="40"/>
      <c r="N11" s="23">
        <f>P11*O11</f>
        <v>25160000</v>
      </c>
      <c r="O11" s="24">
        <v>8.5000000000000006E-2</v>
      </c>
      <c r="P11" s="21">
        <f>ضمان!C22</f>
        <v>296000000</v>
      </c>
      <c r="Q11" s="25">
        <v>4</v>
      </c>
      <c r="R11" s="20" t="s">
        <v>35</v>
      </c>
    </row>
    <row r="12" spans="1:20" ht="69.75" customHeight="1" x14ac:dyDescent="0.25">
      <c r="A12" s="36" t="s">
        <v>55</v>
      </c>
      <c r="B12" s="36"/>
      <c r="C12" s="36"/>
      <c r="D12" s="71" t="s">
        <v>54</v>
      </c>
      <c r="E12" s="36"/>
      <c r="F12" s="36"/>
      <c r="G12" s="36"/>
      <c r="H12" s="72" t="s">
        <v>30</v>
      </c>
      <c r="I12" s="72"/>
      <c r="J12" s="72"/>
      <c r="K12" s="36" t="s">
        <v>31</v>
      </c>
      <c r="L12" s="36"/>
      <c r="M12" s="36"/>
      <c r="N12" s="23">
        <f>P12*O12</f>
        <v>20160000</v>
      </c>
      <c r="O12" s="22">
        <v>0.06</v>
      </c>
      <c r="P12" s="21">
        <f>ضمان!E22</f>
        <v>336000000</v>
      </c>
      <c r="Q12" s="25">
        <v>4</v>
      </c>
      <c r="R12" s="20" t="s">
        <v>36</v>
      </c>
    </row>
    <row r="13" spans="1:20" ht="21.75" customHeight="1" x14ac:dyDescent="0.25">
      <c r="A13" s="36"/>
      <c r="B13" s="36"/>
      <c r="C13" s="36"/>
      <c r="D13" s="36"/>
      <c r="E13" s="36"/>
      <c r="F13" s="36"/>
      <c r="G13" s="36"/>
      <c r="H13" s="72"/>
      <c r="I13" s="72"/>
      <c r="J13" s="72"/>
      <c r="K13" s="36"/>
      <c r="L13" s="36"/>
      <c r="M13" s="36"/>
      <c r="N13" s="23">
        <f>SUM(N10:N12)</f>
        <v>77880000</v>
      </c>
      <c r="O13" s="43" t="s">
        <v>59</v>
      </c>
      <c r="P13" s="44"/>
      <c r="Q13" s="44"/>
      <c r="R13" s="45"/>
    </row>
    <row r="14" spans="1:20" ht="22.5" customHeight="1" x14ac:dyDescent="0.25">
      <c r="A14" s="36"/>
      <c r="B14" s="36"/>
      <c r="C14" s="36"/>
      <c r="D14" s="36"/>
      <c r="E14" s="36"/>
      <c r="F14" s="36"/>
      <c r="G14" s="36"/>
      <c r="H14" s="72"/>
      <c r="I14" s="72"/>
      <c r="J14" s="72"/>
      <c r="K14" s="36"/>
      <c r="L14" s="36"/>
      <c r="M14" s="36"/>
      <c r="N14" s="23" t="e">
        <f>ضمان!#REF!</f>
        <v>#REF!</v>
      </c>
      <c r="O14" s="70" t="s">
        <v>60</v>
      </c>
      <c r="P14" s="44"/>
      <c r="Q14" s="44"/>
      <c r="R14" s="45"/>
    </row>
    <row r="15" spans="1:20" ht="24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12"/>
      <c r="L15" s="36"/>
      <c r="M15" s="36"/>
      <c r="N15" s="23" t="e">
        <f>N13-N14</f>
        <v>#REF!</v>
      </c>
      <c r="O15" s="70" t="s">
        <v>61</v>
      </c>
      <c r="P15" s="44"/>
      <c r="Q15" s="44"/>
      <c r="R15" s="45"/>
    </row>
    <row r="16" spans="1:20" ht="24" customHeight="1" x14ac:dyDescent="0.25">
      <c r="A16" s="66"/>
      <c r="B16" s="66"/>
      <c r="C16" s="66"/>
      <c r="D16" s="66"/>
      <c r="E16" s="66"/>
      <c r="F16" s="66"/>
      <c r="G16" s="64" t="s">
        <v>46</v>
      </c>
      <c r="H16" s="64"/>
      <c r="I16" s="64"/>
      <c r="J16" s="65"/>
      <c r="K16" s="63" t="s">
        <v>45</v>
      </c>
      <c r="L16" s="64"/>
      <c r="M16" s="64"/>
      <c r="N16" s="64" t="s">
        <v>44</v>
      </c>
      <c r="O16" s="64"/>
      <c r="P16" s="64"/>
      <c r="Q16" s="64"/>
      <c r="R16" s="65"/>
    </row>
    <row r="17" spans="1:18" x14ac:dyDescent="0.25">
      <c r="A17" s="61"/>
      <c r="B17" s="46"/>
      <c r="C17" s="46"/>
      <c r="D17" s="46"/>
      <c r="E17" s="46"/>
      <c r="F17" s="46"/>
      <c r="G17" s="47" t="s">
        <v>48</v>
      </c>
      <c r="H17" s="47"/>
      <c r="I17" s="47"/>
      <c r="J17" s="62"/>
      <c r="K17" s="54"/>
      <c r="L17" s="47"/>
      <c r="M17" s="47"/>
      <c r="N17" s="48" t="s">
        <v>47</v>
      </c>
      <c r="O17" s="48"/>
      <c r="P17" s="48"/>
      <c r="Q17" s="48"/>
      <c r="R17" s="60"/>
    </row>
    <row r="18" spans="1:18" x14ac:dyDescent="0.25">
      <c r="A18" s="61"/>
      <c r="B18" s="46"/>
      <c r="C18" s="46"/>
      <c r="D18" s="46"/>
      <c r="E18" s="46"/>
      <c r="F18" s="46"/>
      <c r="G18" s="47" t="s">
        <v>49</v>
      </c>
      <c r="H18" s="47"/>
      <c r="I18" s="47"/>
      <c r="J18" s="62"/>
      <c r="K18" s="54"/>
      <c r="L18" s="47"/>
      <c r="M18" s="47"/>
      <c r="N18" s="57">
        <f>DATE(2026,9,13)</f>
        <v>46278</v>
      </c>
      <c r="O18" s="47"/>
      <c r="P18" s="47" t="s">
        <v>62</v>
      </c>
      <c r="Q18" s="47"/>
      <c r="R18" s="62"/>
    </row>
    <row r="19" spans="1:18" x14ac:dyDescent="0.25">
      <c r="A19" s="50"/>
      <c r="B19" s="51"/>
      <c r="C19" s="51"/>
      <c r="D19" s="51"/>
      <c r="E19" s="51"/>
      <c r="F19" s="51"/>
      <c r="G19" s="52" t="s">
        <v>50</v>
      </c>
      <c r="H19" s="52"/>
      <c r="I19" s="52"/>
      <c r="J19" s="53"/>
      <c r="K19" s="54"/>
      <c r="L19" s="47"/>
      <c r="M19" s="47"/>
      <c r="N19" s="55" t="s">
        <v>51</v>
      </c>
      <c r="O19" s="55"/>
      <c r="P19" s="55"/>
      <c r="Q19" s="55"/>
      <c r="R19" s="56"/>
    </row>
    <row r="20" spans="1:18" x14ac:dyDescent="0.25">
      <c r="A20" s="19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18"/>
    </row>
    <row r="21" spans="1:18" x14ac:dyDescent="0.25">
      <c r="A21" s="49" t="s">
        <v>53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25">
      <c r="A22" s="46" t="s">
        <v>52</v>
      </c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8"/>
      <c r="O22" s="48"/>
      <c r="P22" s="48"/>
      <c r="Q22" s="48"/>
      <c r="R22" s="48"/>
    </row>
    <row r="24" spans="1:18" ht="18" customHeight="1" x14ac:dyDescent="0.25"/>
    <row r="25" spans="1:18" ht="17.399999999999999" customHeight="1" x14ac:dyDescent="0.25"/>
    <row r="26" spans="1:18" ht="18" customHeight="1" x14ac:dyDescent="0.25"/>
    <row r="27" spans="1:18" ht="18" customHeight="1" x14ac:dyDescent="0.25"/>
    <row r="28" spans="1:18" ht="13.8" customHeight="1" x14ac:dyDescent="0.25"/>
    <row r="30" spans="1:18" ht="18" customHeight="1" x14ac:dyDescent="0.25"/>
    <row r="31" spans="1:18" ht="18" customHeight="1" x14ac:dyDescent="0.25"/>
    <row r="32" spans="1:18" ht="13.8" customHeight="1" x14ac:dyDescent="0.25"/>
    <row r="33" ht="13.8" customHeight="1" x14ac:dyDescent="0.25"/>
    <row r="34" ht="13.8" customHeight="1" x14ac:dyDescent="0.25"/>
    <row r="35" ht="13.8" customHeight="1" x14ac:dyDescent="0.25"/>
    <row r="36" ht="13.8" customHeight="1" x14ac:dyDescent="0.25"/>
    <row r="37" ht="13.8" customHeight="1" x14ac:dyDescent="0.25"/>
    <row r="38" ht="13.8" customHeight="1" x14ac:dyDescent="0.25"/>
    <row r="39" ht="13.8" customHeight="1" x14ac:dyDescent="0.25"/>
    <row r="40" ht="13.8" customHeight="1" x14ac:dyDescent="0.25"/>
    <row r="45" ht="13.8" customHeight="1" x14ac:dyDescent="0.25"/>
  </sheetData>
  <mergeCells count="68">
    <mergeCell ref="I3:N3"/>
    <mergeCell ref="O3:R3"/>
    <mergeCell ref="H1:J1"/>
    <mergeCell ref="K1:N1"/>
    <mergeCell ref="O1:R1"/>
    <mergeCell ref="H2:N2"/>
    <mergeCell ref="O2:R2"/>
    <mergeCell ref="A4:M4"/>
    <mergeCell ref="N4:R4"/>
    <mergeCell ref="A5:F7"/>
    <mergeCell ref="H5:J5"/>
    <mergeCell ref="K5:R5"/>
    <mergeCell ref="N6:O6"/>
    <mergeCell ref="P6:R6"/>
    <mergeCell ref="G7:H7"/>
    <mergeCell ref="K7:M7"/>
    <mergeCell ref="N7:O7"/>
    <mergeCell ref="P7:R7"/>
    <mergeCell ref="A8:C8"/>
    <mergeCell ref="D8:J8"/>
    <mergeCell ref="K8:M8"/>
    <mergeCell ref="N8:N9"/>
    <mergeCell ref="O8:O9"/>
    <mergeCell ref="P8:P9"/>
    <mergeCell ref="Q8:Q9"/>
    <mergeCell ref="R8:R9"/>
    <mergeCell ref="F9:G9"/>
    <mergeCell ref="H9:J9"/>
    <mergeCell ref="K9:L9"/>
    <mergeCell ref="A10:C10"/>
    <mergeCell ref="D10:G10"/>
    <mergeCell ref="H10:J10"/>
    <mergeCell ref="K10:M10"/>
    <mergeCell ref="A16:F16"/>
    <mergeCell ref="G16:J16"/>
    <mergeCell ref="K16:M16"/>
    <mergeCell ref="N16:R16"/>
    <mergeCell ref="A11:C11"/>
    <mergeCell ref="D11:G11"/>
    <mergeCell ref="H11:J11"/>
    <mergeCell ref="K11:M11"/>
    <mergeCell ref="A12:C15"/>
    <mergeCell ref="D12:G15"/>
    <mergeCell ref="H12:J14"/>
    <mergeCell ref="K12:M14"/>
    <mergeCell ref="O13:R13"/>
    <mergeCell ref="O14:R14"/>
    <mergeCell ref="H15:J15"/>
    <mergeCell ref="L15:M15"/>
    <mergeCell ref="O15:R15"/>
    <mergeCell ref="A17:F17"/>
    <mergeCell ref="G17:J17"/>
    <mergeCell ref="K17:M17"/>
    <mergeCell ref="N17:R17"/>
    <mergeCell ref="A18:F18"/>
    <mergeCell ref="G18:J18"/>
    <mergeCell ref="K18:M18"/>
    <mergeCell ref="N18:O18"/>
    <mergeCell ref="P18:R18"/>
    <mergeCell ref="N19:R19"/>
    <mergeCell ref="A21:R21"/>
    <mergeCell ref="A22:F22"/>
    <mergeCell ref="G22:J22"/>
    <mergeCell ref="K22:M22"/>
    <mergeCell ref="N22:R22"/>
    <mergeCell ref="A19:F19"/>
    <mergeCell ref="G19:J19"/>
    <mergeCell ref="K19:M19"/>
  </mergeCells>
  <pageMargins left="0.7" right="0.7" top="0.75" bottom="0.75" header="0.3" footer="0.3"/>
  <pageSetup paperSize="9" scale="76" fitToHeight="0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C45E-25CA-4654-A620-17D67AAF9932}">
  <sheetPr>
    <pageSetUpPr fitToPage="1"/>
  </sheetPr>
  <dimension ref="A1:T45"/>
  <sheetViews>
    <sheetView workbookViewId="0">
      <selection activeCell="N13" sqref="N13"/>
    </sheetView>
  </sheetViews>
  <sheetFormatPr defaultRowHeight="13.8" x14ac:dyDescent="0.25"/>
  <cols>
    <col min="1" max="3" width="5.5546875" style="9" customWidth="1"/>
    <col min="4" max="4" width="6.88671875" style="9" customWidth="1"/>
    <col min="5" max="6" width="5.5546875" style="9" customWidth="1"/>
    <col min="7" max="7" width="11.6640625" style="9" customWidth="1"/>
    <col min="8" max="9" width="5.5546875" style="9" customWidth="1"/>
    <col min="10" max="10" width="11.77734375" style="9" customWidth="1"/>
    <col min="11" max="12" width="5.5546875" style="9" customWidth="1"/>
    <col min="13" max="13" width="15.77734375" style="9" customWidth="1"/>
    <col min="14" max="14" width="19.5546875" style="9" customWidth="1"/>
    <col min="15" max="15" width="5.5546875" style="9" customWidth="1"/>
    <col min="16" max="16" width="20.21875" style="9" customWidth="1"/>
    <col min="17" max="17" width="6.109375" style="9" customWidth="1"/>
    <col min="18" max="18" width="5.5546875" style="9" customWidth="1"/>
    <col min="19" max="16384" width="8.88671875" style="9"/>
  </cols>
  <sheetData>
    <row r="1" spans="1:20" ht="19.2" customHeight="1" x14ac:dyDescent="0.25">
      <c r="A1" s="15" t="s">
        <v>37</v>
      </c>
      <c r="B1" s="8"/>
      <c r="C1" s="8"/>
      <c r="D1" s="8"/>
      <c r="E1" s="8"/>
      <c r="F1" s="8"/>
      <c r="G1" s="8"/>
      <c r="H1" s="58" t="s">
        <v>63</v>
      </c>
      <c r="I1" s="58"/>
      <c r="J1" s="58"/>
      <c r="K1" s="58" t="s">
        <v>41</v>
      </c>
      <c r="L1" s="58"/>
      <c r="M1" s="58"/>
      <c r="N1" s="58"/>
      <c r="O1" s="67" t="s">
        <v>38</v>
      </c>
      <c r="P1" s="67"/>
      <c r="Q1" s="67"/>
      <c r="R1" s="67"/>
    </row>
    <row r="2" spans="1:20" ht="23.4" customHeight="1" x14ac:dyDescent="0.25">
      <c r="A2" s="15" t="s">
        <v>39</v>
      </c>
      <c r="B2" s="8"/>
      <c r="C2" s="8"/>
      <c r="D2" s="8"/>
      <c r="E2" s="8"/>
      <c r="F2" s="8"/>
      <c r="G2" s="8"/>
      <c r="H2" s="59" t="s">
        <v>42</v>
      </c>
      <c r="I2" s="59"/>
      <c r="J2" s="59"/>
      <c r="K2" s="59"/>
      <c r="L2" s="59"/>
      <c r="M2" s="59"/>
      <c r="N2" s="59"/>
      <c r="O2" s="67" t="s">
        <v>40</v>
      </c>
      <c r="P2" s="67"/>
      <c r="Q2" s="67"/>
      <c r="R2" s="67"/>
    </row>
    <row r="3" spans="1:20" ht="15" customHeight="1" x14ac:dyDescent="0.25">
      <c r="A3" s="16"/>
      <c r="B3" s="16"/>
      <c r="C3" s="16"/>
      <c r="D3" s="16"/>
      <c r="E3" s="16"/>
      <c r="F3" s="16"/>
      <c r="G3" s="16"/>
      <c r="H3" s="16"/>
      <c r="I3" s="69" t="s">
        <v>43</v>
      </c>
      <c r="J3" s="69"/>
      <c r="K3" s="69"/>
      <c r="L3" s="69"/>
      <c r="M3" s="69"/>
      <c r="N3" s="69"/>
      <c r="O3" s="68" t="s">
        <v>7</v>
      </c>
      <c r="P3" s="68"/>
      <c r="Q3" s="68"/>
      <c r="R3" s="68"/>
    </row>
    <row r="4" spans="1:20" x14ac:dyDescent="0.25">
      <c r="A4" s="35" t="s">
        <v>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35" t="s">
        <v>9</v>
      </c>
      <c r="O4" s="35"/>
      <c r="P4" s="35"/>
      <c r="Q4" s="35"/>
      <c r="R4" s="35"/>
    </row>
    <row r="5" spans="1:20" ht="13.5" customHeight="1" x14ac:dyDescent="0.25">
      <c r="A5" s="75" t="s">
        <v>10</v>
      </c>
      <c r="B5" s="75"/>
      <c r="C5" s="75"/>
      <c r="D5" s="75"/>
      <c r="E5" s="75"/>
      <c r="F5" s="75"/>
      <c r="G5" s="10" t="s">
        <v>11</v>
      </c>
      <c r="H5" s="35" t="s">
        <v>12</v>
      </c>
      <c r="I5" s="72"/>
      <c r="J5" s="72"/>
      <c r="K5" s="76"/>
      <c r="L5" s="77"/>
      <c r="M5" s="77"/>
      <c r="N5" s="77"/>
      <c r="O5" s="77"/>
      <c r="P5" s="77"/>
      <c r="Q5" s="77"/>
      <c r="R5" s="78"/>
    </row>
    <row r="6" spans="1:20" ht="18.600000000000001" customHeight="1" x14ac:dyDescent="0.25">
      <c r="A6" s="75"/>
      <c r="B6" s="75"/>
      <c r="C6" s="75"/>
      <c r="D6" s="75"/>
      <c r="E6" s="75"/>
      <c r="F6" s="75"/>
      <c r="G6" s="10"/>
      <c r="H6" s="10"/>
      <c r="I6" s="11"/>
      <c r="J6" s="11"/>
      <c r="K6" s="12"/>
      <c r="L6" s="12"/>
      <c r="M6" s="12"/>
      <c r="N6" s="81" t="str">
        <f>ضمان!A1</f>
        <v>XYZ</v>
      </c>
      <c r="O6" s="82"/>
      <c r="P6" s="79" t="s">
        <v>57</v>
      </c>
      <c r="Q6" s="79"/>
      <c r="R6" s="80"/>
    </row>
    <row r="7" spans="1:20" ht="52.2" customHeight="1" x14ac:dyDescent="0.25">
      <c r="A7" s="75"/>
      <c r="B7" s="75"/>
      <c r="C7" s="75"/>
      <c r="D7" s="75"/>
      <c r="E7" s="75"/>
      <c r="F7" s="75"/>
      <c r="G7" s="36" t="s">
        <v>56</v>
      </c>
      <c r="H7" s="36"/>
      <c r="I7" s="11"/>
      <c r="J7" s="10"/>
      <c r="K7" s="74"/>
      <c r="L7" s="74"/>
      <c r="M7" s="74"/>
      <c r="N7" s="83" t="str">
        <f>ضمان!F1</f>
        <v>43-61-0000</v>
      </c>
      <c r="O7" s="84"/>
      <c r="P7" s="79" t="s">
        <v>58</v>
      </c>
      <c r="Q7" s="79"/>
      <c r="R7" s="80"/>
    </row>
    <row r="8" spans="1:20" ht="10.5" customHeight="1" x14ac:dyDescent="0.25">
      <c r="A8" s="36"/>
      <c r="B8" s="36"/>
      <c r="C8" s="36"/>
      <c r="D8" s="73" t="s">
        <v>13</v>
      </c>
      <c r="E8" s="73"/>
      <c r="F8" s="73"/>
      <c r="G8" s="73"/>
      <c r="H8" s="73"/>
      <c r="I8" s="73"/>
      <c r="J8" s="73"/>
      <c r="K8" s="35" t="s">
        <v>14</v>
      </c>
      <c r="L8" s="35"/>
      <c r="M8" s="35"/>
      <c r="N8" s="36" t="s">
        <v>15</v>
      </c>
      <c r="O8" s="36" t="s">
        <v>16</v>
      </c>
      <c r="P8" s="35" t="s">
        <v>17</v>
      </c>
      <c r="Q8" s="41" t="s">
        <v>18</v>
      </c>
      <c r="R8" s="35" t="s">
        <v>19</v>
      </c>
    </row>
    <row r="9" spans="1:20" ht="10.5" customHeight="1" x14ac:dyDescent="0.25">
      <c r="A9" s="10" t="s">
        <v>20</v>
      </c>
      <c r="B9" s="10" t="s">
        <v>21</v>
      </c>
      <c r="C9" s="13" t="s">
        <v>22</v>
      </c>
      <c r="D9" s="10" t="s">
        <v>23</v>
      </c>
      <c r="E9" s="14" t="s">
        <v>24</v>
      </c>
      <c r="F9" s="35" t="s">
        <v>25</v>
      </c>
      <c r="G9" s="35"/>
      <c r="H9" s="35" t="s">
        <v>26</v>
      </c>
      <c r="I9" s="35"/>
      <c r="J9" s="35"/>
      <c r="K9" s="73" t="s">
        <v>27</v>
      </c>
      <c r="L9" s="73"/>
      <c r="M9" s="10" t="s">
        <v>25</v>
      </c>
      <c r="N9" s="36"/>
      <c r="O9" s="36"/>
      <c r="P9" s="35"/>
      <c r="Q9" s="42"/>
      <c r="R9" s="35"/>
    </row>
    <row r="10" spans="1:20" ht="66.75" customHeight="1" x14ac:dyDescent="0.25">
      <c r="A10" s="36" t="s">
        <v>28</v>
      </c>
      <c r="B10" s="36"/>
      <c r="C10" s="36"/>
      <c r="D10" s="36" t="s">
        <v>29</v>
      </c>
      <c r="E10" s="36"/>
      <c r="F10" s="36"/>
      <c r="G10" s="36"/>
      <c r="H10" s="37" t="s">
        <v>30</v>
      </c>
      <c r="I10" s="38"/>
      <c r="J10" s="39"/>
      <c r="K10" s="40" t="s">
        <v>31</v>
      </c>
      <c r="L10" s="40"/>
      <c r="M10" s="40"/>
      <c r="N10" s="23">
        <f>P10*O10</f>
        <v>12320000</v>
      </c>
      <c r="O10" s="22">
        <v>0.11</v>
      </c>
      <c r="P10" s="21">
        <f>ضمان!D8</f>
        <v>112000000</v>
      </c>
      <c r="Q10" s="25">
        <v>4</v>
      </c>
      <c r="R10" s="20" t="s">
        <v>32</v>
      </c>
      <c r="T10" s="9" t="s">
        <v>33</v>
      </c>
    </row>
    <row r="11" spans="1:20" ht="63.75" customHeight="1" x14ac:dyDescent="0.25">
      <c r="A11" s="36" t="s">
        <v>34</v>
      </c>
      <c r="B11" s="36"/>
      <c r="C11" s="36"/>
      <c r="D11" s="36" t="s">
        <v>29</v>
      </c>
      <c r="E11" s="36"/>
      <c r="F11" s="36"/>
      <c r="G11" s="36"/>
      <c r="H11" s="37" t="s">
        <v>30</v>
      </c>
      <c r="I11" s="38"/>
      <c r="J11" s="39"/>
      <c r="K11" s="40" t="s">
        <v>31</v>
      </c>
      <c r="L11" s="40"/>
      <c r="M11" s="40"/>
      <c r="N11" s="23">
        <f>P11*O11</f>
        <v>9520000</v>
      </c>
      <c r="O11" s="24">
        <v>8.5000000000000006E-2</v>
      </c>
      <c r="P11" s="21">
        <f>ضمان!C8</f>
        <v>112000000</v>
      </c>
      <c r="Q11" s="25">
        <v>4</v>
      </c>
      <c r="R11" s="20" t="s">
        <v>35</v>
      </c>
    </row>
    <row r="12" spans="1:20" ht="69.75" customHeight="1" x14ac:dyDescent="0.25">
      <c r="A12" s="36" t="s">
        <v>55</v>
      </c>
      <c r="B12" s="36"/>
      <c r="C12" s="36"/>
      <c r="D12" s="71" t="s">
        <v>54</v>
      </c>
      <c r="E12" s="36"/>
      <c r="F12" s="36"/>
      <c r="G12" s="36"/>
      <c r="H12" s="72" t="s">
        <v>30</v>
      </c>
      <c r="I12" s="72"/>
      <c r="J12" s="72"/>
      <c r="K12" s="36" t="s">
        <v>31</v>
      </c>
      <c r="L12" s="36"/>
      <c r="M12" s="36"/>
      <c r="N12" s="23">
        <f>P12*O12</f>
        <v>4320000</v>
      </c>
      <c r="O12" s="22">
        <v>0.06</v>
      </c>
      <c r="P12" s="21">
        <f>ضمان!E8</f>
        <v>72000000</v>
      </c>
      <c r="Q12" s="25">
        <v>4</v>
      </c>
      <c r="R12" s="20" t="s">
        <v>36</v>
      </c>
    </row>
    <row r="13" spans="1:20" ht="21.75" customHeight="1" x14ac:dyDescent="0.25">
      <c r="A13" s="36"/>
      <c r="B13" s="36"/>
      <c r="C13" s="36"/>
      <c r="D13" s="36"/>
      <c r="E13" s="36"/>
      <c r="F13" s="36"/>
      <c r="G13" s="36"/>
      <c r="H13" s="72"/>
      <c r="I13" s="72"/>
      <c r="J13" s="72"/>
      <c r="K13" s="36"/>
      <c r="L13" s="36"/>
      <c r="M13" s="36"/>
      <c r="N13" s="23">
        <f>SUM(N10:N12)</f>
        <v>26160000</v>
      </c>
      <c r="O13" s="43" t="s">
        <v>59</v>
      </c>
      <c r="P13" s="44"/>
      <c r="Q13" s="44"/>
      <c r="R13" s="45"/>
    </row>
    <row r="14" spans="1:20" ht="22.5" customHeight="1" x14ac:dyDescent="0.25">
      <c r="A14" s="36"/>
      <c r="B14" s="36"/>
      <c r="C14" s="36"/>
      <c r="D14" s="36"/>
      <c r="E14" s="36"/>
      <c r="F14" s="36"/>
      <c r="G14" s="36"/>
      <c r="H14" s="72"/>
      <c r="I14" s="72"/>
      <c r="J14" s="72"/>
      <c r="K14" s="36"/>
      <c r="L14" s="36"/>
      <c r="M14" s="36"/>
      <c r="N14" s="23">
        <f>ضمان!F29</f>
        <v>26640000</v>
      </c>
      <c r="O14" s="70" t="s">
        <v>60</v>
      </c>
      <c r="P14" s="44"/>
      <c r="Q14" s="44"/>
      <c r="R14" s="45"/>
    </row>
    <row r="15" spans="1:20" ht="24.7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12"/>
      <c r="L15" s="36"/>
      <c r="M15" s="36"/>
      <c r="N15" s="23">
        <f>N13-N14</f>
        <v>-480000</v>
      </c>
      <c r="O15" s="70" t="s">
        <v>61</v>
      </c>
      <c r="P15" s="44"/>
      <c r="Q15" s="44"/>
      <c r="R15" s="45"/>
    </row>
    <row r="16" spans="1:20" ht="24" customHeight="1" x14ac:dyDescent="0.25">
      <c r="A16" s="66"/>
      <c r="B16" s="66"/>
      <c r="C16" s="66"/>
      <c r="D16" s="66"/>
      <c r="E16" s="66"/>
      <c r="F16" s="66"/>
      <c r="G16" s="64" t="s">
        <v>46</v>
      </c>
      <c r="H16" s="64"/>
      <c r="I16" s="64"/>
      <c r="J16" s="65"/>
      <c r="K16" s="63" t="s">
        <v>45</v>
      </c>
      <c r="L16" s="64"/>
      <c r="M16" s="64"/>
      <c r="N16" s="64" t="s">
        <v>44</v>
      </c>
      <c r="O16" s="64"/>
      <c r="P16" s="64"/>
      <c r="Q16" s="64"/>
      <c r="R16" s="65"/>
    </row>
    <row r="17" spans="1:18" x14ac:dyDescent="0.25">
      <c r="A17" s="61"/>
      <c r="B17" s="46"/>
      <c r="C17" s="46"/>
      <c r="D17" s="46"/>
      <c r="E17" s="46"/>
      <c r="F17" s="46"/>
      <c r="G17" s="47" t="s">
        <v>48</v>
      </c>
      <c r="H17" s="47"/>
      <c r="I17" s="47"/>
      <c r="J17" s="62"/>
      <c r="K17" s="54"/>
      <c r="L17" s="47"/>
      <c r="M17" s="47"/>
      <c r="N17" s="48" t="s">
        <v>47</v>
      </c>
      <c r="O17" s="48"/>
      <c r="P17" s="48"/>
      <c r="Q17" s="48"/>
      <c r="R17" s="60"/>
    </row>
    <row r="18" spans="1:18" x14ac:dyDescent="0.25">
      <c r="A18" s="61"/>
      <c r="B18" s="46"/>
      <c r="C18" s="46"/>
      <c r="D18" s="46"/>
      <c r="E18" s="46"/>
      <c r="F18" s="46"/>
      <c r="G18" s="47" t="s">
        <v>49</v>
      </c>
      <c r="H18" s="47"/>
      <c r="I18" s="47"/>
      <c r="J18" s="62"/>
      <c r="K18" s="54"/>
      <c r="L18" s="47"/>
      <c r="M18" s="47"/>
      <c r="N18" s="57">
        <f>DATE(2026,9,13)</f>
        <v>46278</v>
      </c>
      <c r="O18" s="47"/>
      <c r="P18" s="47" t="s">
        <v>62</v>
      </c>
      <c r="Q18" s="47"/>
      <c r="R18" s="62"/>
    </row>
    <row r="19" spans="1:18" x14ac:dyDescent="0.25">
      <c r="A19" s="50"/>
      <c r="B19" s="51"/>
      <c r="C19" s="51"/>
      <c r="D19" s="51"/>
      <c r="E19" s="51"/>
      <c r="F19" s="51"/>
      <c r="G19" s="52" t="s">
        <v>50</v>
      </c>
      <c r="H19" s="52"/>
      <c r="I19" s="52"/>
      <c r="J19" s="53"/>
      <c r="K19" s="54"/>
      <c r="L19" s="47"/>
      <c r="M19" s="47"/>
      <c r="N19" s="55" t="s">
        <v>51</v>
      </c>
      <c r="O19" s="55"/>
      <c r="P19" s="55"/>
      <c r="Q19" s="55"/>
      <c r="R19" s="56"/>
    </row>
    <row r="20" spans="1:18" x14ac:dyDescent="0.25">
      <c r="A20" s="19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18"/>
    </row>
    <row r="21" spans="1:18" x14ac:dyDescent="0.25">
      <c r="A21" s="49" t="s">
        <v>53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25">
      <c r="A22" s="46" t="s">
        <v>52</v>
      </c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8"/>
      <c r="O22" s="48"/>
      <c r="P22" s="48"/>
      <c r="Q22" s="48"/>
      <c r="R22" s="48"/>
    </row>
    <row r="24" spans="1:18" ht="18" customHeight="1" x14ac:dyDescent="0.25"/>
    <row r="25" spans="1:18" ht="17.399999999999999" customHeight="1" x14ac:dyDescent="0.25"/>
    <row r="26" spans="1:18" ht="18" customHeight="1" x14ac:dyDescent="0.25"/>
    <row r="27" spans="1:18" ht="18" customHeight="1" x14ac:dyDescent="0.25"/>
    <row r="28" spans="1:18" ht="13.8" customHeight="1" x14ac:dyDescent="0.25"/>
    <row r="30" spans="1:18" ht="18" customHeight="1" x14ac:dyDescent="0.25"/>
    <row r="31" spans="1:18" ht="18" customHeight="1" x14ac:dyDescent="0.25"/>
    <row r="32" spans="1:18" ht="13.8" customHeight="1" x14ac:dyDescent="0.25"/>
    <row r="33" ht="13.8" customHeight="1" x14ac:dyDescent="0.25"/>
    <row r="34" ht="13.8" customHeight="1" x14ac:dyDescent="0.25"/>
    <row r="35" ht="13.8" customHeight="1" x14ac:dyDescent="0.25"/>
    <row r="36" ht="13.8" customHeight="1" x14ac:dyDescent="0.25"/>
    <row r="37" ht="13.8" customHeight="1" x14ac:dyDescent="0.25"/>
    <row r="38" ht="13.8" customHeight="1" x14ac:dyDescent="0.25"/>
    <row r="39" ht="13.8" customHeight="1" x14ac:dyDescent="0.25"/>
    <row r="40" ht="13.8" customHeight="1" x14ac:dyDescent="0.25"/>
    <row r="45" ht="13.8" customHeight="1" x14ac:dyDescent="0.25"/>
  </sheetData>
  <mergeCells count="68">
    <mergeCell ref="I3:N3"/>
    <mergeCell ref="O3:R3"/>
    <mergeCell ref="H1:J1"/>
    <mergeCell ref="K1:N1"/>
    <mergeCell ref="O1:R1"/>
    <mergeCell ref="H2:N2"/>
    <mergeCell ref="O2:R2"/>
    <mergeCell ref="A4:M4"/>
    <mergeCell ref="N4:R4"/>
    <mergeCell ref="A5:F7"/>
    <mergeCell ref="H5:J5"/>
    <mergeCell ref="K5:R5"/>
    <mergeCell ref="N6:O6"/>
    <mergeCell ref="P6:R6"/>
    <mergeCell ref="G7:H7"/>
    <mergeCell ref="K7:M7"/>
    <mergeCell ref="N7:O7"/>
    <mergeCell ref="P7:R7"/>
    <mergeCell ref="A8:C8"/>
    <mergeCell ref="D8:J8"/>
    <mergeCell ref="K8:M8"/>
    <mergeCell ref="N8:N9"/>
    <mergeCell ref="O8:O9"/>
    <mergeCell ref="P8:P9"/>
    <mergeCell ref="Q8:Q9"/>
    <mergeCell ref="R8:R9"/>
    <mergeCell ref="F9:G9"/>
    <mergeCell ref="H9:J9"/>
    <mergeCell ref="K9:L9"/>
    <mergeCell ref="A10:C10"/>
    <mergeCell ref="D10:G10"/>
    <mergeCell ref="H10:J10"/>
    <mergeCell ref="K10:M10"/>
    <mergeCell ref="A16:F16"/>
    <mergeCell ref="G16:J16"/>
    <mergeCell ref="K16:M16"/>
    <mergeCell ref="N16:R16"/>
    <mergeCell ref="A11:C11"/>
    <mergeCell ref="D11:G11"/>
    <mergeCell ref="H11:J11"/>
    <mergeCell ref="K11:M11"/>
    <mergeCell ref="A12:C15"/>
    <mergeCell ref="D12:G15"/>
    <mergeCell ref="H12:J14"/>
    <mergeCell ref="K12:M14"/>
    <mergeCell ref="O13:R13"/>
    <mergeCell ref="O14:R14"/>
    <mergeCell ref="H15:J15"/>
    <mergeCell ref="L15:M15"/>
    <mergeCell ref="O15:R15"/>
    <mergeCell ref="A17:F17"/>
    <mergeCell ref="G17:J17"/>
    <mergeCell ref="K17:M17"/>
    <mergeCell ref="N17:R17"/>
    <mergeCell ref="A18:F18"/>
    <mergeCell ref="G18:J18"/>
    <mergeCell ref="K18:M18"/>
    <mergeCell ref="N18:O18"/>
    <mergeCell ref="P18:R18"/>
    <mergeCell ref="N19:R19"/>
    <mergeCell ref="A21:R21"/>
    <mergeCell ref="A22:F22"/>
    <mergeCell ref="G22:J22"/>
    <mergeCell ref="K22:M22"/>
    <mergeCell ref="N22:R22"/>
    <mergeCell ref="A19:F19"/>
    <mergeCell ref="G19:J19"/>
    <mergeCell ref="K19:M19"/>
  </mergeCells>
  <pageMargins left="0.7" right="0.7" top="0.75" bottom="0.75" header="0.3" footer="0.3"/>
  <pageSetup paperSize="9" scale="76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ضمان</vt:lpstr>
      <vt:lpstr>21</vt:lpstr>
      <vt:lpstr>22</vt:lpstr>
      <vt:lpstr>23</vt:lpstr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2026-09-18T12:07:58Z</dcterms:modified>
</cp:coreProperties>
</file>